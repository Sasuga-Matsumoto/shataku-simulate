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人あたりのシミュレーション" sheetId="1" r:id="rId5"/>
    <sheet state="visible" name="制度未利用の手取り" sheetId="2" r:id="rId6"/>
    <sheet state="visible" name="制度利用時の手取り" sheetId="3" r:id="rId7"/>
    <sheet state="visible" name="定数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手取り給与から家賃を除いた実質的な手取りです
家賃は支給給与の1/4ほどに仮定しています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協会けんぽなのか、他の健康保険組合に所属していいるのかによって変わる</t>
      </text>
    </comment>
    <comment authorId="0" ref="F4">
      <text>
        <t xml:space="preserve">都道府県によって変わり得る</t>
      </text>
    </comment>
    <comment authorId="0" ref="I4">
      <text>
        <t xml:space="preserve">年間累積</t>
      </text>
    </comment>
    <comment authorId="0" ref="F5">
      <text>
        <t xml:space="preserve">全国一律</t>
      </text>
    </comment>
    <comment authorId="0" ref="I5">
      <text>
        <t xml:space="preserve">支給ごと</t>
      </text>
    </comment>
    <comment authorId="0" ref="C6">
      <text>
        <t xml:space="preserve">事業の種類に依存</t>
      </text>
    </comment>
    <comment authorId="0" ref="G6">
      <text>
        <t xml:space="preserve">会社のほうが負担割合が大きい</t>
      </text>
    </comment>
  </commentList>
</comments>
</file>

<file path=xl/sharedStrings.xml><?xml version="1.0" encoding="utf-8"?>
<sst xmlns="http://schemas.openxmlformats.org/spreadsheetml/2006/main" count="199" uniqueCount="102">
  <si>
    <t>東京都</t>
  </si>
  <si>
    <t>項目</t>
  </si>
  <si>
    <t>値</t>
  </si>
  <si>
    <t>現在の月額支給額「額面）</t>
  </si>
  <si>
    <t>← 要入力</t>
  </si>
  <si>
    <t>賃料</t>
  </si>
  <si>
    <t>都道府県</t>
  </si>
  <si>
    <t>■ 結果（自動）</t>
  </si>
  <si>
    <t>制度利用前</t>
  </si>
  <si>
    <t>制度利用時</t>
  </si>
  <si>
    <t>月収（額面）</t>
  </si>
  <si>
    <t>税金・社保</t>
  </si>
  <si>
    <t>家賃</t>
  </si>
  <si>
    <t>実質手取り（制度未利用時）</t>
  </si>
  <si>
    <t xml:space="preserve">月実質手取り増加 </t>
  </si>
  <si>
    <t xml:space="preserve">年実質手取り増加 </t>
  </si>
  <si>
    <t>家賃減額</t>
  </si>
  <si>
    <t>詳細</t>
  </si>
  <si>
    <t>体</t>
  </si>
  <si>
    <t>月収</t>
  </si>
  <si>
    <t>社会保険料</t>
  </si>
  <si>
    <t>住民税</t>
  </si>
  <si>
    <t>所得税</t>
  </si>
  <si>
    <t>入力</t>
  </si>
  <si>
    <t>額面月額支給</t>
  </si>
  <si>
    <t>賞与額</t>
  </si>
  <si>
    <t>支給回数</t>
  </si>
  <si>
    <t>減額割合</t>
  </si>
  <si>
    <t>効果</t>
  </si>
  <si>
    <t>手取り月額</t>
  </si>
  <si>
    <t>実質手取り月額</t>
  </si>
  <si>
    <t>社保</t>
  </si>
  <si>
    <t>実質手取年総額</t>
  </si>
  <si>
    <t>手取年総額</t>
  </si>
  <si>
    <t>年間給与収入</t>
  </si>
  <si>
    <t>控除総額</t>
  </si>
  <si>
    <t>社会保険料 - 月額分</t>
  </si>
  <si>
    <t>健康保険 - 月額分</t>
  </si>
  <si>
    <t>標準報酬月額</t>
  </si>
  <si>
    <t>月額上限</t>
  </si>
  <si>
    <t>厚生年金保険 - 月額分</t>
  </si>
  <si>
    <t>雇用保険 - 月額分</t>
  </si>
  <si>
    <t>雇用保険料率</t>
  </si>
  <si>
    <t>社会保険料 - 賞与分</t>
  </si>
  <si>
    <t>健康保険 - 賞与分</t>
  </si>
  <si>
    <t>健康保険料率</t>
  </si>
  <si>
    <t>総支給賞与額</t>
  </si>
  <si>
    <t>賞与総額上限</t>
  </si>
  <si>
    <t>厚生年金保険 - 賞与分</t>
  </si>
  <si>
    <t>厚生年金保険料率</t>
  </si>
  <si>
    <t>支給毎の賞与上限</t>
  </si>
  <si>
    <t>雇用保険 - 賞与分</t>
  </si>
  <si>
    <t>住民税額</t>
  </si>
  <si>
    <t>年間課税所得 - 住民税</t>
  </si>
  <si>
    <t>年間給与所得</t>
  </si>
  <si>
    <t>給与所得控除（均等割）</t>
  </si>
  <si>
    <t>給与所得控除（所得割）</t>
  </si>
  <si>
    <t>基礎控除 - 住民税</t>
  </si>
  <si>
    <t>住民税率</t>
  </si>
  <si>
    <t>住民税 均等割</t>
  </si>
  <si>
    <t>所得税額</t>
  </si>
  <si>
    <t>年間課税所得 - 所得税</t>
  </si>
  <si>
    <t>基礎控除 - 所得税</t>
  </si>
  <si>
    <t>税率</t>
  </si>
  <si>
    <t>控除額</t>
  </si>
  <si>
    <t>社宅利用料</t>
  </si>
  <si>
    <t>控除割合</t>
  </si>
  <si>
    <t>課税対象</t>
  </si>
  <si>
    <t>対象上限</t>
  </si>
  <si>
    <t>保険料率</t>
  </si>
  <si>
    <t>会社負担率</t>
  </si>
  <si>
    <t>上限額</t>
  </si>
  <si>
    <t>賞与上限</t>
  </si>
  <si>
    <t>健康保険</t>
  </si>
  <si>
    <t>厚生年金保険</t>
  </si>
  <si>
    <t>雇用保険</t>
  </si>
  <si>
    <t>当月の総支給額</t>
  </si>
  <si>
    <t xml:space="preserve"> </t>
  </si>
  <si>
    <t>税金</t>
  </si>
  <si>
    <t>均等割</t>
  </si>
  <si>
    <t>対象割合</t>
  </si>
  <si>
    <t>基礎控除</t>
  </si>
  <si>
    <t>前年の課税所得</t>
  </si>
  <si>
    <t>毎月の給与額</t>
  </si>
  <si>
    <t>累進課税</t>
  </si>
  <si>
    <t>累進</t>
  </si>
  <si>
    <t>所得税率</t>
  </si>
  <si>
    <t>課税される所得金額</t>
  </si>
  <si>
    <t>から</t>
  </si>
  <si>
    <t>まで</t>
  </si>
  <si>
    <t>給与所得控除</t>
  </si>
  <si>
    <t>給与等の収入金額
(給与所得の源泉徴収票の支払金額)</t>
  </si>
  <si>
    <t>所得割</t>
  </si>
  <si>
    <t>所得（以上）</t>
  </si>
  <si>
    <t>所得（未満）</t>
  </si>
  <si>
    <t>令和7年分
令和8年分</t>
  </si>
  <si>
    <t>令和9年分
以後</t>
  </si>
  <si>
    <t>報酬月額(以上)</t>
  </si>
  <si>
    <t>報酬月額(未満)</t>
  </si>
  <si>
    <t>全額（円）</t>
  </si>
  <si>
    <t>折半額（円）</t>
  </si>
  <si>
    <t>99999999999999999999999999999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</si>
</sst>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¥-411]#,##0"/>
    <numFmt numFmtId="165" formatCode="[$¥-411]#,##0.0"/>
    <numFmt numFmtId="166" formatCode="#,##0.0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000000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Noto Sans JP"/>
    </font>
    <font>
      <b/>
      <color rgb="FF595656"/>
      <name val="Noto Sans JP"/>
    </font>
    <font>
      <u/>
      <color rgb="FF0000FF"/>
      <name val="Noto Sans JP"/>
    </font>
    <font>
      <u/>
      <color rgb="FF0000FF"/>
    </font>
    <font>
      <b/>
      <color rgb="FFFFFFFF"/>
      <name val="-apple-system"/>
    </font>
    <font/>
    <font>
      <b/>
      <color rgb="FFFFFFFF"/>
      <name val="Arial"/>
    </font>
    <font>
      <b/>
      <color theme="1"/>
      <name val="Arial"/>
    </font>
    <font>
      <color rgb="FF333333"/>
      <name val="Arial"/>
    </font>
    <font>
      <color rgb="FF333333"/>
      <name val="-apple-system"/>
    </font>
    <font>
      <b/>
      <color rgb="FFFFFFFF"/>
      <name val="&quot;Google Sans Text&quot;"/>
    </font>
    <font>
      <color rgb="FF1F1F1F"/>
      <name val="&quot;Google Sans Text&quot;"/>
    </font>
    <font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bottom style="dotted">
        <color rgb="FF000000"/>
      </bottom>
    </border>
    <border>
      <left style="medium">
        <color rgb="FF000000"/>
      </left>
      <right style="medium">
        <color rgb="FF000000"/>
      </right>
      <bottom style="dotted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ont="1">
      <alignment readingOrder="0"/>
    </xf>
    <xf borderId="6" fillId="0" fontId="1" numFmtId="0" xfId="0" applyBorder="1" applyFont="1"/>
    <xf borderId="3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8" fillId="3" fontId="5" numFmtId="164" xfId="0" applyAlignment="1" applyBorder="1" applyFill="1" applyFont="1" applyNumberFormat="1">
      <alignment readingOrder="0"/>
    </xf>
    <xf borderId="9" fillId="0" fontId="1" numFmtId="0" xfId="0" applyAlignment="1" applyBorder="1" applyFont="1">
      <alignment readingOrder="0"/>
    </xf>
    <xf borderId="10" fillId="3" fontId="5" numFmtId="164" xfId="0" applyAlignment="1" applyBorder="1" applyFont="1" applyNumberFormat="1">
      <alignment readingOrder="0"/>
    </xf>
    <xf borderId="1" fillId="0" fontId="1" numFmtId="165" xfId="0" applyBorder="1" applyFont="1" applyNumberFormat="1"/>
    <xf borderId="1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166" xfId="0" applyBorder="1" applyFont="1" applyNumberFormat="1"/>
    <xf borderId="14" fillId="0" fontId="1" numFmtId="0" xfId="0" applyAlignment="1" applyBorder="1" applyFont="1">
      <alignment readingOrder="0"/>
    </xf>
    <xf borderId="10" fillId="3" fontId="5" numFmtId="166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0" fontId="1" numFmtId="164" xfId="0" applyBorder="1" applyFont="1" applyNumberFormat="1"/>
    <xf borderId="0" fillId="0" fontId="1" numFmtId="3" xfId="0" applyFont="1" applyNumberFormat="1"/>
    <xf borderId="0" fillId="3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0" fillId="0" fontId="6" numFmtId="164" xfId="0" applyFont="1" applyNumberFormat="1"/>
    <xf borderId="0" fillId="4" fontId="1" numFmtId="0" xfId="0" applyAlignment="1" applyFill="1" applyFont="1">
      <alignment readingOrder="0"/>
    </xf>
    <xf borderId="0" fillId="0" fontId="1" numFmtId="0" xfId="0" applyFont="1"/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10" xfId="0" applyFont="1" applyNumberFormat="1"/>
    <xf borderId="0" fillId="7" fontId="1" numFmtId="0" xfId="0" applyAlignment="1" applyFill="1" applyFont="1">
      <alignment readingOrder="0"/>
    </xf>
    <xf borderId="0" fillId="0" fontId="1" numFmtId="166" xfId="0" applyAlignment="1" applyFont="1" applyNumberFormat="1">
      <alignment readingOrder="0"/>
    </xf>
    <xf borderId="0" fillId="8" fontId="1" numFmtId="0" xfId="0" applyAlignment="1" applyFill="1" applyFont="1">
      <alignment readingOrder="0"/>
    </xf>
    <xf borderId="0" fillId="0" fontId="1" numFmtId="9" xfId="0" applyFont="1" applyNumberFormat="1"/>
    <xf borderId="0" fillId="0" fontId="1" numFmtId="166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0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9" fontId="8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15" fillId="2" fontId="11" numFmtId="0" xfId="0" applyAlignment="1" applyBorder="1" applyFont="1">
      <alignment horizontal="center" readingOrder="0" vertical="bottom"/>
    </xf>
    <xf borderId="16" fillId="0" fontId="12" numFmtId="0" xfId="0" applyBorder="1" applyFont="1"/>
    <xf borderId="17" fillId="2" fontId="11" numFmtId="0" xfId="0" applyAlignment="1" applyBorder="1" applyFont="1">
      <alignment horizontal="center" readingOrder="0" vertical="bottom"/>
    </xf>
    <xf borderId="18" fillId="2" fontId="13" numFmtId="0" xfId="0" applyAlignment="1" applyBorder="1" applyFont="1">
      <alignment horizontal="center" readingOrder="0" vertical="bottom"/>
    </xf>
    <xf borderId="0" fillId="2" fontId="13" numFmtId="0" xfId="0" applyAlignment="1" applyFont="1">
      <alignment horizontal="center" readingOrder="0" vertical="bottom"/>
    </xf>
    <xf borderId="19" fillId="0" fontId="12" numFmtId="0" xfId="0" applyBorder="1" applyFont="1"/>
    <xf borderId="18" fillId="0" fontId="14" numFmtId="3" xfId="0" applyAlignment="1" applyBorder="1" applyFont="1" applyNumberFormat="1">
      <alignment horizontal="left" readingOrder="0" vertical="bottom"/>
    </xf>
    <xf borderId="18" fillId="0" fontId="1" numFmtId="3" xfId="0" applyAlignment="1" applyBorder="1" applyFont="1" applyNumberFormat="1">
      <alignment readingOrder="0"/>
    </xf>
    <xf borderId="18" fillId="0" fontId="15" numFmtId="9" xfId="0" applyAlignment="1" applyBorder="1" applyFont="1" applyNumberFormat="1">
      <alignment horizontal="center" readingOrder="0" vertical="bottom"/>
    </xf>
    <xf borderId="18" fillId="0" fontId="15" numFmtId="0" xfId="0" applyAlignment="1" applyBorder="1" applyFont="1">
      <alignment horizontal="right" readingOrder="0" vertical="bottom"/>
    </xf>
    <xf borderId="18" fillId="0" fontId="15" numFmtId="3" xfId="0" applyAlignment="1" applyBorder="1" applyFont="1" applyNumberFormat="1">
      <alignment horizontal="right" readingOrder="0" vertical="bottom"/>
    </xf>
    <xf borderId="18" fillId="0" fontId="1" numFmtId="0" xfId="0" applyBorder="1" applyFont="1"/>
    <xf borderId="17" fillId="2" fontId="13" numFmtId="0" xfId="0" applyAlignment="1" applyBorder="1" applyFont="1">
      <alignment horizontal="center" readingOrder="0" vertical="bottom"/>
    </xf>
    <xf borderId="17" fillId="2" fontId="3" numFmtId="0" xfId="0" applyAlignment="1" applyBorder="1" applyFont="1">
      <alignment readingOrder="0"/>
    </xf>
    <xf borderId="18" fillId="9" fontId="15" numFmtId="3" xfId="0" applyAlignment="1" applyBorder="1" applyFont="1" applyNumberFormat="1">
      <alignment horizontal="right" readingOrder="0" vertical="bottom"/>
    </xf>
    <xf borderId="18" fillId="9" fontId="16" numFmtId="3" xfId="0" applyAlignment="1" applyBorder="1" applyFont="1" applyNumberFormat="1">
      <alignment horizontal="right" readingOrder="0" vertical="bottom"/>
    </xf>
    <xf borderId="18" fillId="9" fontId="15" numFmtId="3" xfId="0" applyAlignment="1" applyBorder="1" applyFont="1" applyNumberFormat="1">
      <alignment readingOrder="0" vertical="bottom"/>
    </xf>
    <xf borderId="18" fillId="0" fontId="1" numFmtId="0" xfId="0" applyAlignment="1" applyBorder="1" applyFont="1">
      <alignment readingOrder="0"/>
    </xf>
    <xf borderId="18" fillId="0" fontId="1" numFmtId="9" xfId="0" applyAlignment="1" applyBorder="1" applyFont="1" applyNumberFormat="1">
      <alignment readingOrder="0"/>
    </xf>
    <xf borderId="18" fillId="2" fontId="17" numFmtId="0" xfId="0" applyAlignment="1" applyBorder="1" applyFont="1">
      <alignment readingOrder="0"/>
    </xf>
    <xf borderId="18" fillId="2" fontId="3" numFmtId="0" xfId="0" applyAlignment="1" applyBorder="1" applyFont="1">
      <alignment readingOrder="0"/>
    </xf>
    <xf borderId="18" fillId="0" fontId="18" numFmtId="0" xfId="0" applyAlignment="1" applyBorder="1" applyFont="1">
      <alignment readingOrder="0"/>
    </xf>
    <xf borderId="18" fillId="0" fontId="18" numFmtId="0" xfId="0" applyBorder="1" applyFont="1"/>
    <xf borderId="18" fillId="0" fontId="1" numFmtId="3" xfId="0" applyBorder="1" applyFont="1" applyNumberFormat="1"/>
    <xf borderId="18" fillId="0" fontId="18" numFmtId="3" xfId="0" applyAlignment="1" applyBorder="1" applyFont="1" applyNumberFormat="1">
      <alignment readingOrder="0"/>
    </xf>
    <xf borderId="17" fillId="2" fontId="17" numFmtId="0" xfId="0" applyAlignment="1" applyBorder="1" applyFont="1">
      <alignment readingOrder="0"/>
    </xf>
    <xf borderId="15" fillId="2" fontId="17" numFmtId="0" xfId="0" applyAlignment="1" applyBorder="1" applyFont="1">
      <alignment readingOrder="0"/>
    </xf>
    <xf borderId="15" fillId="2" fontId="19" numFmtId="0" xfId="0" applyAlignment="1" applyBorder="1" applyFont="1">
      <alignment readingOrder="0"/>
    </xf>
    <xf borderId="18" fillId="0" fontId="18" numFmtId="166" xfId="0" applyAlignment="1" applyBorder="1" applyFont="1" applyNumberFormat="1">
      <alignment readingOrder="0"/>
    </xf>
    <xf borderId="18" fillId="0" fontId="18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freee.co.jp/kb/kb-payroll/how-to-calculate-income-tax/" TargetMode="External"/><Relationship Id="rId3" Type="http://schemas.openxmlformats.org/officeDocument/2006/relationships/hyperlink" Target="https://www.nta.go.jp/taxes/shiraberu/taxanswer/shotoku/2260.htm" TargetMode="External"/><Relationship Id="rId4" Type="http://schemas.openxmlformats.org/officeDocument/2006/relationships/hyperlink" Target="https://www.nta.go.jp/taxes/shiraberu/taxanswer/shotoku/1410.htm" TargetMode="External"/><Relationship Id="rId5" Type="http://schemas.openxmlformats.org/officeDocument/2006/relationships/hyperlink" Target="https://www.nta.go.jp/taxes/shiraberu/taxanswer/shotoku/1199.htm" TargetMode="External"/><Relationship Id="rId6" Type="http://schemas.openxmlformats.org/officeDocument/2006/relationships/hyperlink" Target="https://www.kyoukaikenpo.or.jp/~/media/Files/shared/hokenryouritu/r4/ippan/r40213tokyo.pdf" TargetMode="External"/><Relationship Id="rId7" Type="http://schemas.openxmlformats.org/officeDocument/2006/relationships/drawing" Target="../drawings/drawing4.xml"/><Relationship Id="rId8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5.5"/>
    <col customWidth="1" min="3" max="3" width="26.0"/>
    <col customWidth="1" min="4" max="4" width="9.13"/>
    <col customWidth="1" min="5" max="5" width="12.25"/>
  </cols>
  <sheetData>
    <row r="1">
      <c r="A1" s="1"/>
      <c r="B1" s="1"/>
      <c r="C1" s="1"/>
      <c r="D1" s="1"/>
      <c r="E1" s="1"/>
    </row>
    <row r="2">
      <c r="A2" s="2"/>
      <c r="B2" s="2"/>
      <c r="C2" s="3" t="s">
        <v>0</v>
      </c>
      <c r="D2" s="4"/>
      <c r="E2" s="1"/>
    </row>
    <row r="3">
      <c r="A3" s="1"/>
      <c r="B3" s="5"/>
      <c r="C3" s="6" t="s">
        <v>1</v>
      </c>
      <c r="D3" s="7" t="s">
        <v>2</v>
      </c>
      <c r="E3" s="8"/>
    </row>
    <row r="4">
      <c r="A4" s="1"/>
      <c r="B4" s="9"/>
      <c r="C4" s="10" t="s">
        <v>3</v>
      </c>
      <c r="D4" s="11">
        <v>300000.0</v>
      </c>
      <c r="E4" s="12" t="s">
        <v>4</v>
      </c>
    </row>
    <row r="5">
      <c r="A5" s="1"/>
      <c r="B5" s="1"/>
      <c r="C5" s="10" t="s">
        <v>5</v>
      </c>
      <c r="D5" s="13">
        <v>80000.0</v>
      </c>
    </row>
    <row r="6">
      <c r="A6" s="1"/>
      <c r="B6" s="1"/>
      <c r="C6" s="14" t="s">
        <v>6</v>
      </c>
      <c r="D6" s="15" t="s">
        <v>0</v>
      </c>
      <c r="E6" s="16"/>
    </row>
    <row r="7">
      <c r="A7" s="1"/>
      <c r="B7" s="1"/>
      <c r="C7" s="17"/>
      <c r="D7" s="16"/>
      <c r="E7" s="16"/>
    </row>
    <row r="8">
      <c r="A8" s="1"/>
      <c r="B8" s="1"/>
      <c r="C8" s="3" t="s">
        <v>7</v>
      </c>
      <c r="D8" s="18" t="s">
        <v>8</v>
      </c>
      <c r="E8" s="2" t="s">
        <v>9</v>
      </c>
    </row>
    <row r="9">
      <c r="A9" s="1"/>
      <c r="B9" s="1"/>
      <c r="C9" s="6" t="s">
        <v>1</v>
      </c>
      <c r="D9" s="7" t="s">
        <v>2</v>
      </c>
      <c r="E9" s="7" t="s">
        <v>2</v>
      </c>
    </row>
    <row r="10">
      <c r="A10" s="1"/>
      <c r="B10" s="2"/>
      <c r="C10" s="19" t="s">
        <v>10</v>
      </c>
      <c r="D10" s="20">
        <f>round(D4/10000,1)</f>
        <v>30</v>
      </c>
      <c r="E10" s="20">
        <f>round((D4-D5*0.8)/10000,1)</f>
        <v>23.6</v>
      </c>
    </row>
    <row r="11">
      <c r="A11" s="1"/>
      <c r="B11" s="2"/>
      <c r="C11" s="19" t="s">
        <v>11</v>
      </c>
      <c r="D11" s="20">
        <f>D10-round('制度未利用の手取り'!H10/10000,1)</f>
        <v>6.1</v>
      </c>
      <c r="E11" s="20">
        <f>E10-round('制度利用時の手取り'!H10/10000,1)</f>
        <v>4.7</v>
      </c>
    </row>
    <row r="12">
      <c r="A12" s="1"/>
      <c r="B12" s="2"/>
      <c r="C12" s="19" t="s">
        <v>12</v>
      </c>
      <c r="D12" s="20">
        <f>round(D5/10000,1)</f>
        <v>8</v>
      </c>
      <c r="E12" s="20">
        <f>round(D5*0.2/10000,1)</f>
        <v>1.6</v>
      </c>
    </row>
    <row r="13">
      <c r="A13" s="1"/>
      <c r="B13" s="2"/>
      <c r="C13" s="21" t="s">
        <v>13</v>
      </c>
      <c r="D13" s="20">
        <f>round('制度未利用の手取り'!H11/10000,1)</f>
        <v>15.9</v>
      </c>
      <c r="E13" s="20">
        <f>round('制度利用時の手取り'!H11/10000,1)</f>
        <v>17.3</v>
      </c>
    </row>
    <row r="14">
      <c r="A14" s="1"/>
      <c r="B14" s="2"/>
      <c r="C14" s="10" t="s">
        <v>14</v>
      </c>
      <c r="E14" s="13">
        <f>round('制度利用時の手取り'!H11-'制度未利用の手取り'!H11,0)</f>
        <v>14240</v>
      </c>
    </row>
    <row r="15">
      <c r="A15" s="1"/>
      <c r="B15" s="2"/>
      <c r="C15" s="10" t="s">
        <v>15</v>
      </c>
      <c r="E15" s="13">
        <f>E14*12</f>
        <v>170880</v>
      </c>
    </row>
    <row r="16">
      <c r="A16" s="1"/>
      <c r="B16" s="1"/>
      <c r="C16" s="14" t="s">
        <v>16</v>
      </c>
      <c r="E16" s="22">
        <f>round(D5*0.8/10000,1)</f>
        <v>6.4</v>
      </c>
    </row>
    <row r="17">
      <c r="A17" s="1"/>
      <c r="B17" s="1"/>
      <c r="C17" s="23"/>
    </row>
    <row r="18">
      <c r="A18" s="1"/>
      <c r="B18" s="1"/>
      <c r="C18" s="23" t="s">
        <v>17</v>
      </c>
      <c r="D18" s="23" t="s">
        <v>2</v>
      </c>
      <c r="E18" s="23" t="s">
        <v>18</v>
      </c>
    </row>
    <row r="19">
      <c r="A19" s="1"/>
      <c r="B19" s="1"/>
      <c r="C19" s="23" t="s">
        <v>19</v>
      </c>
      <c r="D19" s="24">
        <f>D4</f>
        <v>300000</v>
      </c>
      <c r="E19" s="24">
        <f>D4-D5*0.8</f>
        <v>236000</v>
      </c>
    </row>
    <row r="20">
      <c r="A20" s="1"/>
      <c r="B20" s="1"/>
      <c r="C20" s="2" t="s">
        <v>20</v>
      </c>
      <c r="D20" s="1">
        <f>round('制度未利用の手取り'!H18/12,1)</f>
        <v>44115</v>
      </c>
      <c r="E20" s="1">
        <f>round('制度利用時の手取り'!H18/12,1)</f>
        <v>35268</v>
      </c>
    </row>
    <row r="21">
      <c r="A21" s="1"/>
      <c r="B21" s="1"/>
      <c r="C21" s="2" t="s">
        <v>21</v>
      </c>
      <c r="D21" s="25">
        <f>round('制度未利用の手取り'!H42/12,1)</f>
        <v>12755.2</v>
      </c>
      <c r="E21" s="25">
        <f>round('制度利用時の手取り'!H42/12,1)</f>
        <v>9159.8</v>
      </c>
    </row>
    <row r="22">
      <c r="A22" s="1"/>
      <c r="B22" s="1"/>
      <c r="C22" s="2" t="s">
        <v>22</v>
      </c>
      <c r="D22" s="25">
        <f>round('制度未利用の手取り'!H52/12,1)</f>
        <v>4294.3</v>
      </c>
      <c r="E22" s="25">
        <f>round('制度利用時の手取り'!H52/12,1)</f>
        <v>2496.6</v>
      </c>
    </row>
    <row r="23">
      <c r="A23" s="1"/>
      <c r="B23" s="1"/>
      <c r="C23" s="2" t="s">
        <v>12</v>
      </c>
      <c r="D23" s="25">
        <f>D5</f>
        <v>80000</v>
      </c>
      <c r="E23" s="25">
        <f>D5*0.2</f>
        <v>16000</v>
      </c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75"/>
  <cols>
    <col customWidth="1" min="1" max="1" width="3.13"/>
    <col customWidth="1" min="2" max="4" width="2.63"/>
    <col customWidth="1" min="5" max="5" width="3.25"/>
    <col customWidth="1" min="6" max="6" width="3.38"/>
    <col customWidth="1" min="7" max="7" width="20.25"/>
    <col customWidth="1" min="8" max="8" width="8.75"/>
    <col customWidth="1" min="9" max="22" width="9.88"/>
    <col customWidth="1" min="23" max="24" width="10.5"/>
    <col customWidth="1" min="25" max="27" width="9.88"/>
    <col customWidth="1" min="28" max="29" width="9.5"/>
    <col customWidth="1" min="30" max="30" width="9.88"/>
    <col customWidth="1" min="31" max="31" width="10.25"/>
  </cols>
  <sheetData>
    <row r="1">
      <c r="A1" s="23"/>
    </row>
    <row r="2">
      <c r="B2" s="23" t="s">
        <v>23</v>
      </c>
      <c r="C2" s="23"/>
      <c r="D2" s="23"/>
      <c r="E2" s="23"/>
      <c r="F2" s="23"/>
      <c r="AF2" s="26"/>
      <c r="AG2" s="26"/>
      <c r="AH2" s="26"/>
      <c r="AI2" s="26"/>
    </row>
    <row r="3">
      <c r="A3" s="23"/>
      <c r="C3" s="27" t="s">
        <v>24</v>
      </c>
      <c r="H3" s="28">
        <f>'1人あたりのシミュレーション'!D4</f>
        <v>300000</v>
      </c>
    </row>
    <row r="4">
      <c r="A4" s="23"/>
      <c r="C4" s="27" t="s">
        <v>25</v>
      </c>
      <c r="G4" s="23"/>
      <c r="H4" s="23">
        <v>0.0</v>
      </c>
    </row>
    <row r="5">
      <c r="A5" s="23"/>
      <c r="C5" s="27" t="s">
        <v>26</v>
      </c>
      <c r="G5" s="23"/>
      <c r="H5" s="23">
        <v>1.0</v>
      </c>
    </row>
    <row r="6">
      <c r="C6" s="27" t="s">
        <v>12</v>
      </c>
      <c r="H6" s="29">
        <f>'1人あたりのシミュレーション'!D5</f>
        <v>80000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</row>
    <row r="7">
      <c r="A7" s="23"/>
      <c r="C7" s="27" t="s">
        <v>27</v>
      </c>
      <c r="H7" s="30">
        <v>0.0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</row>
    <row r="9">
      <c r="B9" s="23" t="s">
        <v>28</v>
      </c>
    </row>
    <row r="10">
      <c r="C10" s="23" t="s">
        <v>29</v>
      </c>
      <c r="H10" s="31">
        <f>H14/12</f>
        <v>238835.5833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</row>
    <row r="11">
      <c r="C11" s="23" t="s">
        <v>30</v>
      </c>
      <c r="H11" s="31">
        <f>H13/12</f>
        <v>158835.5833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</row>
    <row r="12">
      <c r="C12" s="23" t="s">
        <v>31</v>
      </c>
    </row>
    <row r="13">
      <c r="A13" s="32"/>
      <c r="B13" s="33" t="s">
        <v>32</v>
      </c>
      <c r="C13" s="32"/>
      <c r="D13" s="32"/>
      <c r="E13" s="32"/>
      <c r="F13" s="32"/>
      <c r="G13" s="32"/>
      <c r="H13" s="34">
        <f>H14-H59</f>
        <v>1906027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</row>
    <row r="14">
      <c r="A14" s="32"/>
      <c r="B14" s="33" t="s">
        <v>33</v>
      </c>
      <c r="C14" s="32"/>
      <c r="D14" s="32"/>
      <c r="E14" s="32"/>
      <c r="F14" s="32"/>
      <c r="G14" s="32"/>
      <c r="H14" s="34">
        <f>H15-H17</f>
        <v>2866027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</row>
    <row r="15">
      <c r="C15" s="27" t="s">
        <v>34</v>
      </c>
      <c r="H15" s="24">
        <f>H16*12+H4*H5</f>
        <v>3600000</v>
      </c>
    </row>
    <row r="16">
      <c r="D16" s="23" t="s">
        <v>24</v>
      </c>
      <c r="G16" s="23"/>
      <c r="H16" s="28">
        <f>H3-H6*H7</f>
        <v>300000</v>
      </c>
    </row>
    <row r="17">
      <c r="C17" s="23" t="s">
        <v>35</v>
      </c>
      <c r="H17" s="24">
        <f>H18+H42+H52</f>
        <v>733973</v>
      </c>
    </row>
    <row r="18">
      <c r="D18" s="35" t="s">
        <v>20</v>
      </c>
      <c r="H18" s="36">
        <f>H19*12+H29</f>
        <v>529380</v>
      </c>
      <c r="I18" s="36">
        <f>H18/12</f>
        <v>44115</v>
      </c>
    </row>
    <row r="19">
      <c r="E19" s="23" t="s">
        <v>36</v>
      </c>
      <c r="H19" s="26">
        <f>H20+H23+H26</f>
        <v>44115</v>
      </c>
    </row>
    <row r="20">
      <c r="F20" s="23" t="s">
        <v>37</v>
      </c>
      <c r="G20" s="26"/>
      <c r="H20" s="26">
        <f>IFERROR(__xludf.DUMMYFUNCTION("ROUND(if(H21&gt;=H22,'定数'!G96, filter('定数'!$G$47:$G$96,'定数'!$C$47:$C$96=H21)))"),14865.0)</f>
        <v>14865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</row>
    <row r="21">
      <c r="G21" s="37" t="s">
        <v>38</v>
      </c>
      <c r="H21" s="26">
        <f>IFERROR(__xludf.DUMMYFUNCTION("filter('定数'!$C$47:$C$96,'定数'!$D$47:$D$96&lt;=H16,'定数'!$E$47:$E$96&gt;H16)"),300000.0)</f>
        <v>300000</v>
      </c>
    </row>
    <row r="22">
      <c r="G22" s="23" t="s">
        <v>39</v>
      </c>
      <c r="H22" s="36">
        <f>'定数'!$E$4</f>
        <v>1390000</v>
      </c>
    </row>
    <row r="23">
      <c r="F23" s="23" t="s">
        <v>40</v>
      </c>
      <c r="G23" s="26"/>
      <c r="H23" s="26">
        <f>IFERROR(__xludf.DUMMYFUNCTION("ROUND(if(H24&gt;=H25,'定数'!$I$96,filter('定数'!$I$47:$I$96,'定数'!$C$47:$C$96=H21)))"),27450.0)</f>
        <v>27450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</row>
    <row r="24">
      <c r="G24" s="37" t="s">
        <v>38</v>
      </c>
      <c r="H24" s="26">
        <f>H21</f>
        <v>300000</v>
      </c>
    </row>
    <row r="25">
      <c r="G25" s="23" t="s">
        <v>39</v>
      </c>
      <c r="H25" s="36">
        <f>'定数'!$E$5</f>
        <v>650000</v>
      </c>
    </row>
    <row r="26">
      <c r="F26" s="23" t="s">
        <v>41</v>
      </c>
      <c r="H26" s="24">
        <f>H16*'定数'!$F$6</f>
        <v>1800</v>
      </c>
    </row>
    <row r="27">
      <c r="G27" s="23" t="s">
        <v>24</v>
      </c>
      <c r="H27" s="24">
        <f>H16</f>
        <v>300000</v>
      </c>
    </row>
    <row r="28">
      <c r="G28" s="38" t="s">
        <v>42</v>
      </c>
      <c r="H28" s="39">
        <f>'定数'!$F$6</f>
        <v>0.006</v>
      </c>
    </row>
    <row r="29">
      <c r="E29" s="23" t="s">
        <v>43</v>
      </c>
      <c r="H29" s="36">
        <f>H30+H34+H39</f>
        <v>0</v>
      </c>
    </row>
    <row r="30">
      <c r="F30" s="23" t="s">
        <v>44</v>
      </c>
      <c r="H30" s="36">
        <f>if(H32&gt;=H33,H33*H31,H31*H32)</f>
        <v>0</v>
      </c>
    </row>
    <row r="31">
      <c r="G31" s="23" t="s">
        <v>45</v>
      </c>
      <c r="H31" s="39">
        <f>'定数'!$F$4*(1-'定数'!$G$4)</f>
        <v>0.0495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</row>
    <row r="32">
      <c r="G32" s="40" t="s">
        <v>46</v>
      </c>
      <c r="H32" s="36">
        <f>H4*H5</f>
        <v>0</v>
      </c>
    </row>
    <row r="33">
      <c r="G33" s="23" t="s">
        <v>47</v>
      </c>
      <c r="H33" s="36">
        <f>'定数'!$I$4</f>
        <v>5730000</v>
      </c>
    </row>
    <row r="34">
      <c r="F34" s="23" t="s">
        <v>48</v>
      </c>
      <c r="H34" s="36">
        <f>if(H36/H38&gt;=H37,H37*H35*H38,H36*H35)</f>
        <v>0</v>
      </c>
    </row>
    <row r="35">
      <c r="G35" s="23" t="s">
        <v>49</v>
      </c>
      <c r="H35" s="39">
        <f>'定数'!$F$5*(1-'定数'!$G$5)</f>
        <v>0.0915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</row>
    <row r="36">
      <c r="G36" s="40" t="s">
        <v>46</v>
      </c>
      <c r="H36" s="36">
        <f>H32</f>
        <v>0</v>
      </c>
    </row>
    <row r="37">
      <c r="G37" s="23" t="s">
        <v>50</v>
      </c>
      <c r="H37" s="36">
        <f>'定数'!$I$5</f>
        <v>1500000</v>
      </c>
    </row>
    <row r="38">
      <c r="G38" s="23" t="s">
        <v>26</v>
      </c>
      <c r="H38" s="36">
        <f>H5</f>
        <v>1</v>
      </c>
    </row>
    <row r="39">
      <c r="F39" s="23" t="s">
        <v>51</v>
      </c>
      <c r="H39" s="36">
        <f>H40*H41</f>
        <v>0</v>
      </c>
    </row>
    <row r="40">
      <c r="G40" s="38" t="s">
        <v>42</v>
      </c>
      <c r="H40" s="39">
        <f>H28</f>
        <v>0.006</v>
      </c>
    </row>
    <row r="41">
      <c r="G41" s="40" t="s">
        <v>46</v>
      </c>
      <c r="H41" s="36">
        <f>H32</f>
        <v>0</v>
      </c>
    </row>
    <row r="42">
      <c r="D42" s="23" t="s">
        <v>52</v>
      </c>
      <c r="H42" s="24">
        <f>round(H43*H50+H51,0)</f>
        <v>153062</v>
      </c>
      <c r="I42" s="24">
        <f>H42/12</f>
        <v>12755.16667</v>
      </c>
    </row>
    <row r="43">
      <c r="E43" s="23" t="s">
        <v>53</v>
      </c>
      <c r="H43" s="24">
        <f>H44-H48-H49</f>
        <v>1480620</v>
      </c>
    </row>
    <row r="44">
      <c r="C44" s="41"/>
      <c r="F44" s="42" t="s">
        <v>54</v>
      </c>
      <c r="H44" s="24">
        <f>H45-H46-H47</f>
        <v>2440000</v>
      </c>
    </row>
    <row r="45">
      <c r="G45" s="27" t="s">
        <v>34</v>
      </c>
      <c r="H45" s="24">
        <f>H15</f>
        <v>3600000</v>
      </c>
    </row>
    <row r="46">
      <c r="G46" s="23" t="s">
        <v>55</v>
      </c>
      <c r="H46" s="26">
        <f>IFERROR(__xludf.DUMMYFUNCTION("if(H45&gt;='定数'!$C$30,'定数'!$E$30,filter('定数'!$E$26:$E$30,'定数'!$C$26:$C$30&lt;=H45,'定数'!$D$26:$D$30&gt;H45))"),440000.0)</f>
        <v>440000</v>
      </c>
    </row>
    <row r="47">
      <c r="G47" s="23" t="s">
        <v>56</v>
      </c>
      <c r="H47" s="24">
        <f>IFERROR(__xludf.DUMMYFUNCTION("if(H45&gt;='定数'!$C$30,0,filter('定数'!$F$26:$F$30,'定数'!$C$26:$C$30&lt;=H45,'定数'!$D$26:$D$30&gt;H45)*H45)"),720000.0)</f>
        <v>720000</v>
      </c>
    </row>
    <row r="48">
      <c r="F48" s="35" t="s">
        <v>20</v>
      </c>
      <c r="H48" s="36">
        <f>H18</f>
        <v>529380</v>
      </c>
    </row>
    <row r="49">
      <c r="F49" s="23" t="s">
        <v>57</v>
      </c>
      <c r="H49" s="36">
        <f>'定数'!$G$9</f>
        <v>430000</v>
      </c>
    </row>
    <row r="50">
      <c r="E50" s="23" t="s">
        <v>58</v>
      </c>
      <c r="H50" s="43">
        <f>'定数'!$F$9</f>
        <v>0.1</v>
      </c>
    </row>
    <row r="51">
      <c r="E51" s="23" t="s">
        <v>59</v>
      </c>
      <c r="H51" s="36">
        <f>'定数'!$E$9</f>
        <v>5000</v>
      </c>
    </row>
    <row r="52">
      <c r="D52" s="23" t="s">
        <v>60</v>
      </c>
      <c r="H52" s="24">
        <f>H53*H57-H58</f>
        <v>51531</v>
      </c>
      <c r="I52" s="24">
        <f>H52/12</f>
        <v>4294.25</v>
      </c>
    </row>
    <row r="53">
      <c r="E53" s="23" t="s">
        <v>61</v>
      </c>
      <c r="H53" s="24">
        <f>H54-H55-H56</f>
        <v>1030620</v>
      </c>
    </row>
    <row r="54">
      <c r="F54" s="42" t="s">
        <v>54</v>
      </c>
      <c r="H54" s="24">
        <f>H44</f>
        <v>2440000</v>
      </c>
    </row>
    <row r="55">
      <c r="F55" s="35" t="s">
        <v>20</v>
      </c>
      <c r="H55" s="36">
        <f>H18</f>
        <v>529380</v>
      </c>
    </row>
    <row r="56">
      <c r="F56" s="23" t="s">
        <v>62</v>
      </c>
      <c r="H56" s="36">
        <f>IFERROR(__xludf.DUMMYFUNCTION("if(H54&gt;='定数'!$C$42,0, filter('定数'!$E$34:$E$42,'定数'!$C$34:$C$42&lt;=H44,'定数'!$D$34:$D$42&gt;H44))"),880000.0)</f>
        <v>880000</v>
      </c>
    </row>
    <row r="57">
      <c r="D57" s="44"/>
      <c r="E57" s="23" t="s">
        <v>63</v>
      </c>
      <c r="H57" s="43">
        <f>IFERROR(__xludf.DUMMYFUNCTION("if(H53&gt;='定数'!$C$21,'定数'!$E$21,filter('定数'!$E$15:$E$21,'定数'!$C$15:$C$21&lt;=H53,'定数'!$D$15:$D$21&gt;H53))"),0.05)</f>
        <v>0.05</v>
      </c>
    </row>
    <row r="58">
      <c r="E58" s="23" t="s">
        <v>64</v>
      </c>
      <c r="H58" s="36">
        <f>IFERROR(__xludf.DUMMYFUNCTION("if(H53&gt;='定数'!$C$21,'定数'!$F$21,filter('定数'!$F$15:$F$21,'定数'!$C$15:$C$21&lt;=H53,'定数'!$D$15:$D$21&gt;H53))"),0.0)</f>
        <v>0</v>
      </c>
    </row>
    <row r="59">
      <c r="D59" s="23" t="s">
        <v>65</v>
      </c>
      <c r="H59" s="36">
        <f>H60*H61*12</f>
        <v>960000</v>
      </c>
    </row>
    <row r="60">
      <c r="E60" s="23" t="s">
        <v>66</v>
      </c>
      <c r="H60" s="43">
        <f>1-H7</f>
        <v>1</v>
      </c>
    </row>
    <row r="61">
      <c r="E61" s="23" t="s">
        <v>5</v>
      </c>
      <c r="H61" s="31">
        <f>H6</f>
        <v>80000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4" width="2.63"/>
    <col customWidth="1" min="5" max="5" width="3.25"/>
    <col customWidth="1" min="6" max="6" width="3.38"/>
    <col customWidth="1" min="7" max="7" width="20.25"/>
    <col customWidth="1" min="8" max="8" width="8.75"/>
    <col customWidth="1" min="9" max="22" width="9.88"/>
    <col customWidth="1" min="23" max="24" width="10.5"/>
    <col customWidth="1" min="25" max="27" width="9.88"/>
    <col customWidth="1" min="28" max="29" width="9.5"/>
    <col customWidth="1" min="30" max="30" width="9.88"/>
    <col customWidth="1" min="31" max="31" width="10.25"/>
  </cols>
  <sheetData>
    <row r="1">
      <c r="A1" s="23"/>
    </row>
    <row r="2">
      <c r="B2" s="23" t="s">
        <v>23</v>
      </c>
      <c r="C2" s="23"/>
      <c r="D2" s="23"/>
      <c r="E2" s="23"/>
      <c r="F2" s="23"/>
      <c r="AF2" s="26"/>
      <c r="AG2" s="26"/>
      <c r="AH2" s="26"/>
      <c r="AI2" s="26"/>
    </row>
    <row r="3">
      <c r="A3" s="23"/>
      <c r="C3" s="27" t="s">
        <v>24</v>
      </c>
      <c r="H3" s="28">
        <f>'1人あたりのシミュレーション'!D4</f>
        <v>300000</v>
      </c>
    </row>
    <row r="4">
      <c r="A4" s="23"/>
      <c r="C4" s="27" t="s">
        <v>25</v>
      </c>
      <c r="G4" s="23"/>
      <c r="H4" s="23">
        <v>0.0</v>
      </c>
    </row>
    <row r="5">
      <c r="A5" s="23"/>
      <c r="C5" s="27" t="s">
        <v>26</v>
      </c>
      <c r="G5" s="23"/>
      <c r="H5" s="23">
        <v>1.0</v>
      </c>
    </row>
    <row r="6">
      <c r="C6" s="27" t="s">
        <v>12</v>
      </c>
      <c r="H6" s="29">
        <f>'1人あたりのシミュレーション'!D5</f>
        <v>80000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</row>
    <row r="7">
      <c r="A7" s="23"/>
      <c r="C7" s="27" t="s">
        <v>27</v>
      </c>
      <c r="H7" s="30">
        <v>0.8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</row>
    <row r="9">
      <c r="B9" s="23" t="s">
        <v>28</v>
      </c>
    </row>
    <row r="10">
      <c r="C10" s="23" t="s">
        <v>29</v>
      </c>
      <c r="H10" s="31">
        <f>H14/12</f>
        <v>189075.5667</v>
      </c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</row>
    <row r="11">
      <c r="C11" s="23" t="s">
        <v>30</v>
      </c>
      <c r="H11" s="31">
        <f>H13/12</f>
        <v>173075.5667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</row>
    <row r="13">
      <c r="A13" s="32"/>
      <c r="B13" s="33" t="s">
        <v>32</v>
      </c>
      <c r="C13" s="32"/>
      <c r="D13" s="32"/>
      <c r="E13" s="32"/>
      <c r="F13" s="32"/>
      <c r="G13" s="32"/>
      <c r="H13" s="34">
        <f>H14-H59</f>
        <v>2076906.8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</row>
    <row r="14">
      <c r="A14" s="32"/>
      <c r="B14" s="33" t="s">
        <v>33</v>
      </c>
      <c r="C14" s="32"/>
      <c r="D14" s="32"/>
      <c r="E14" s="32"/>
      <c r="F14" s="32"/>
      <c r="G14" s="32"/>
      <c r="H14" s="34">
        <f>H15-H17</f>
        <v>2268906.8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</row>
    <row r="15">
      <c r="C15" s="27" t="s">
        <v>34</v>
      </c>
      <c r="H15" s="24">
        <f>H16*12+H4*H5</f>
        <v>2832000</v>
      </c>
    </row>
    <row r="16">
      <c r="D16" s="23" t="s">
        <v>24</v>
      </c>
      <c r="G16" s="23"/>
      <c r="H16" s="28">
        <f>H3-H6*H7</f>
        <v>236000</v>
      </c>
    </row>
    <row r="17">
      <c r="C17" s="23" t="s">
        <v>35</v>
      </c>
      <c r="H17" s="24">
        <f>H18+H42+H52</f>
        <v>563093.2</v>
      </c>
    </row>
    <row r="18">
      <c r="D18" s="35" t="s">
        <v>20</v>
      </c>
      <c r="H18" s="36">
        <f>H19*12+H29</f>
        <v>423216</v>
      </c>
      <c r="I18" s="36">
        <f>H18/12</f>
        <v>35268</v>
      </c>
    </row>
    <row r="19">
      <c r="E19" s="23" t="s">
        <v>36</v>
      </c>
      <c r="H19" s="26">
        <f>H20+H23+H26</f>
        <v>35268</v>
      </c>
    </row>
    <row r="20">
      <c r="F20" s="23" t="s">
        <v>37</v>
      </c>
      <c r="G20" s="26"/>
      <c r="H20" s="26">
        <f>IFERROR(__xludf.DUMMYFUNCTION("ROUND(if(H21&gt;=H22,'定数'!G96, filter('定数'!$G$47:$G$96,'定数'!$C$47:$C$96=H21)))"),11892.0)</f>
        <v>11892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</row>
    <row r="21">
      <c r="G21" s="37" t="s">
        <v>38</v>
      </c>
      <c r="H21" s="26">
        <f>IFERROR(__xludf.DUMMYFUNCTION("filter('定数'!$C$47:$C$96,'定数'!$D$47:$D$96&lt;=H16,'定数'!$E$47:$E$96&gt;H16)"),240000.0)</f>
        <v>240000</v>
      </c>
    </row>
    <row r="22">
      <c r="G22" s="23" t="s">
        <v>39</v>
      </c>
      <c r="H22" s="36">
        <f>'定数'!$E$4</f>
        <v>1390000</v>
      </c>
    </row>
    <row r="23">
      <c r="F23" s="23" t="s">
        <v>40</v>
      </c>
      <c r="G23" s="26"/>
      <c r="H23" s="26">
        <f>IFERROR(__xludf.DUMMYFUNCTION("ROUND(if(H24&gt;=H25,'定数'!$I$96,filter('定数'!$I$47:$I$96,'定数'!$C$47:$C$96=H21)))"),21960.0)</f>
        <v>21960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</row>
    <row r="24">
      <c r="G24" s="37" t="s">
        <v>38</v>
      </c>
      <c r="H24" s="26">
        <f>H21</f>
        <v>240000</v>
      </c>
    </row>
    <row r="25">
      <c r="G25" s="23" t="s">
        <v>39</v>
      </c>
      <c r="H25" s="36">
        <f>'定数'!$E$5</f>
        <v>650000</v>
      </c>
    </row>
    <row r="26">
      <c r="F26" s="23" t="s">
        <v>41</v>
      </c>
      <c r="H26" s="24">
        <f>H16*'定数'!$F$6</f>
        <v>1416</v>
      </c>
    </row>
    <row r="27">
      <c r="G27" s="23" t="s">
        <v>24</v>
      </c>
      <c r="H27" s="24">
        <f>H16</f>
        <v>236000</v>
      </c>
    </row>
    <row r="28">
      <c r="G28" s="38" t="s">
        <v>42</v>
      </c>
      <c r="H28" s="39">
        <f>'定数'!$F$6</f>
        <v>0.006</v>
      </c>
    </row>
    <row r="29">
      <c r="E29" s="23" t="s">
        <v>43</v>
      </c>
      <c r="H29" s="36">
        <f>H30+H34+H39</f>
        <v>0</v>
      </c>
    </row>
    <row r="30">
      <c r="F30" s="23" t="s">
        <v>44</v>
      </c>
      <c r="H30" s="36">
        <f>if(H32&gt;=H33,H33*H31,H31*H32)</f>
        <v>0</v>
      </c>
    </row>
    <row r="31">
      <c r="G31" s="23" t="s">
        <v>45</v>
      </c>
      <c r="H31" s="39">
        <f>'定数'!$F$4*(1-'定数'!$G$4)</f>
        <v>0.0495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</row>
    <row r="32">
      <c r="G32" s="40" t="s">
        <v>46</v>
      </c>
      <c r="H32" s="36">
        <f>H4*H5</f>
        <v>0</v>
      </c>
    </row>
    <row r="33">
      <c r="G33" s="23" t="s">
        <v>47</v>
      </c>
      <c r="H33" s="36">
        <f>'定数'!$I$4</f>
        <v>5730000</v>
      </c>
    </row>
    <row r="34">
      <c r="F34" s="23" t="s">
        <v>48</v>
      </c>
      <c r="H34" s="36">
        <f>if(H36/H38&gt;=H37,H37*H35*H38,H36*H35)</f>
        <v>0</v>
      </c>
    </row>
    <row r="35">
      <c r="G35" s="23" t="s">
        <v>49</v>
      </c>
      <c r="H35" s="39">
        <f>'定数'!$F$5*(1-'定数'!$G$5)</f>
        <v>0.0915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</row>
    <row r="36">
      <c r="G36" s="40" t="s">
        <v>46</v>
      </c>
      <c r="H36" s="36">
        <f>H32</f>
        <v>0</v>
      </c>
    </row>
    <row r="37">
      <c r="G37" s="23" t="s">
        <v>50</v>
      </c>
      <c r="H37" s="36">
        <f>'定数'!$I$5</f>
        <v>1500000</v>
      </c>
    </row>
    <row r="38">
      <c r="G38" s="23" t="s">
        <v>26</v>
      </c>
      <c r="H38" s="36">
        <f>H5</f>
        <v>1</v>
      </c>
    </row>
    <row r="39">
      <c r="F39" s="23" t="s">
        <v>51</v>
      </c>
      <c r="H39" s="36">
        <f>H40*H41</f>
        <v>0</v>
      </c>
    </row>
    <row r="40">
      <c r="G40" s="38" t="s">
        <v>42</v>
      </c>
      <c r="H40" s="39">
        <f>H28</f>
        <v>0.006</v>
      </c>
    </row>
    <row r="41">
      <c r="G41" s="40" t="s">
        <v>46</v>
      </c>
      <c r="H41" s="36">
        <f>H32</f>
        <v>0</v>
      </c>
    </row>
    <row r="42">
      <c r="D42" s="23" t="s">
        <v>52</v>
      </c>
      <c r="H42" s="24">
        <f>round(H43*H50+H51,0)</f>
        <v>109918</v>
      </c>
    </row>
    <row r="43">
      <c r="E43" s="23" t="s">
        <v>53</v>
      </c>
      <c r="H43" s="24">
        <f>H44-H48-H49</f>
        <v>1049184</v>
      </c>
    </row>
    <row r="44">
      <c r="C44" s="41"/>
      <c r="F44" s="42" t="s">
        <v>54</v>
      </c>
      <c r="H44" s="24">
        <f>H45-H46-H47</f>
        <v>1902400</v>
      </c>
    </row>
    <row r="45">
      <c r="G45" s="27" t="s">
        <v>34</v>
      </c>
      <c r="H45" s="24">
        <f>H15</f>
        <v>2832000</v>
      </c>
    </row>
    <row r="46">
      <c r="G46" s="23" t="s">
        <v>55</v>
      </c>
      <c r="H46" s="26">
        <f>IFERROR(__xludf.DUMMYFUNCTION("if(H45&gt;='定数'!$C$30,'定数'!$E$30,filter('定数'!$E$26:$E$30,'定数'!$C$26:$C$30&lt;=H45,'定数'!$D$26:$D$30&gt;H45))"),80000.0)</f>
        <v>80000</v>
      </c>
    </row>
    <row r="47">
      <c r="G47" s="23" t="s">
        <v>56</v>
      </c>
      <c r="H47" s="24">
        <f>IFERROR(__xludf.DUMMYFUNCTION("if(H45&gt;='定数'!$C$30,0,filter('定数'!$F$26:$F$30,'定数'!$C$26:$C$30&lt;=H45,'定数'!$D$26:$D$30&gt;H45)*H45)"),849600.0)</f>
        <v>849600</v>
      </c>
    </row>
    <row r="48">
      <c r="F48" s="35" t="s">
        <v>20</v>
      </c>
      <c r="H48" s="36">
        <f>H18</f>
        <v>423216</v>
      </c>
    </row>
    <row r="49">
      <c r="F49" s="23" t="s">
        <v>57</v>
      </c>
      <c r="H49" s="36">
        <f>'定数'!$G$9</f>
        <v>430000</v>
      </c>
    </row>
    <row r="50">
      <c r="E50" s="23" t="s">
        <v>58</v>
      </c>
      <c r="H50" s="43">
        <f>'定数'!$F$9</f>
        <v>0.1</v>
      </c>
    </row>
    <row r="51">
      <c r="E51" s="23" t="s">
        <v>59</v>
      </c>
      <c r="H51" s="36">
        <f>'定数'!$E$9</f>
        <v>5000</v>
      </c>
    </row>
    <row r="52">
      <c r="D52" s="23" t="s">
        <v>60</v>
      </c>
      <c r="H52" s="24">
        <f>H53*H57-H58</f>
        <v>29959.2</v>
      </c>
    </row>
    <row r="53">
      <c r="E53" s="23" t="s">
        <v>61</v>
      </c>
      <c r="H53" s="24">
        <f>H54-H55-H56</f>
        <v>599184</v>
      </c>
    </row>
    <row r="54">
      <c r="F54" s="42" t="s">
        <v>54</v>
      </c>
      <c r="H54" s="24">
        <f>H44</f>
        <v>1902400</v>
      </c>
    </row>
    <row r="55">
      <c r="F55" s="35" t="s">
        <v>20</v>
      </c>
      <c r="H55" s="36">
        <f>H18</f>
        <v>423216</v>
      </c>
    </row>
    <row r="56">
      <c r="F56" s="23" t="s">
        <v>62</v>
      </c>
      <c r="H56" s="36">
        <f>IFERROR(__xludf.DUMMYFUNCTION("if(H54&gt;='定数'!$C$42,0, filter('定数'!$E$34:$E$42,'定数'!$C$34:$C$42&lt;=H44,'定数'!$D$34:$D$42&gt;H44))"),880000.0)</f>
        <v>880000</v>
      </c>
    </row>
    <row r="57">
      <c r="D57" s="44"/>
      <c r="E57" s="23" t="s">
        <v>63</v>
      </c>
      <c r="H57" s="43">
        <f>IFERROR(__xludf.DUMMYFUNCTION("if(H53&gt;='定数'!$C$21,'定数'!$E$21,filter('定数'!$E$15:$E$21,'定数'!$C$15:$C$21&lt;=H53,'定数'!$D$15:$D$21&gt;H53))"),0.05)</f>
        <v>0.05</v>
      </c>
    </row>
    <row r="58">
      <c r="E58" s="23" t="s">
        <v>64</v>
      </c>
      <c r="H58" s="36">
        <f>IFERROR(__xludf.DUMMYFUNCTION("if(H53&gt;='定数'!$C$21,'定数'!$F$21,filter('定数'!$F$15:$F$21,'定数'!$C$15:$C$21&lt;=H53,'定数'!$D$15:$D$21&gt;H53))"),0.0)</f>
        <v>0</v>
      </c>
    </row>
    <row r="59">
      <c r="D59" s="23" t="s">
        <v>65</v>
      </c>
      <c r="H59" s="36">
        <f>H60*H61*12</f>
        <v>192000</v>
      </c>
    </row>
    <row r="60">
      <c r="E60" s="23" t="s">
        <v>66</v>
      </c>
      <c r="H60" s="43">
        <f>1-H7</f>
        <v>0.2</v>
      </c>
    </row>
    <row r="61">
      <c r="E61" s="23" t="s">
        <v>5</v>
      </c>
      <c r="H61" s="31">
        <f>H6</f>
        <v>80000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38"/>
    <col customWidth="1" min="3" max="3" width="13.63"/>
    <col customWidth="1" min="4" max="4" width="12.63"/>
    <col customWidth="1" min="5" max="5" width="9.88"/>
    <col customWidth="1" min="6" max="9" width="10.25"/>
  </cols>
  <sheetData>
    <row r="1">
      <c r="A1" s="23"/>
      <c r="B1" s="23"/>
      <c r="D1" s="23"/>
      <c r="E1" s="23"/>
      <c r="F1" s="23"/>
      <c r="G1" s="23"/>
      <c r="H1" s="23"/>
    </row>
    <row r="2">
      <c r="A2" s="45"/>
      <c r="B2" s="45" t="s">
        <v>20</v>
      </c>
      <c r="C2" s="46"/>
      <c r="D2" s="45"/>
      <c r="E2" s="45"/>
      <c r="F2" s="45"/>
      <c r="G2" s="45"/>
      <c r="H2" s="45"/>
    </row>
    <row r="3">
      <c r="A3" s="46"/>
      <c r="B3" s="46"/>
      <c r="C3" s="46"/>
      <c r="D3" s="45" t="s">
        <v>67</v>
      </c>
      <c r="E3" s="45" t="s">
        <v>68</v>
      </c>
      <c r="F3" s="45" t="s">
        <v>69</v>
      </c>
      <c r="G3" s="45" t="s">
        <v>70</v>
      </c>
      <c r="H3" s="45" t="s">
        <v>71</v>
      </c>
      <c r="I3" s="23" t="s">
        <v>72</v>
      </c>
    </row>
    <row r="4">
      <c r="A4" s="45"/>
      <c r="B4" s="45"/>
      <c r="C4" s="45" t="s">
        <v>73</v>
      </c>
      <c r="D4" s="45" t="s">
        <v>38</v>
      </c>
      <c r="E4" s="45">
        <v>1390000.0</v>
      </c>
      <c r="F4" s="47">
        <v>0.099</v>
      </c>
      <c r="G4" s="48">
        <v>0.5</v>
      </c>
      <c r="H4" s="46">
        <f t="shared" ref="H4:H5" si="1">E4*F4*(1-G4)</f>
        <v>68805</v>
      </c>
      <c r="I4" s="23">
        <v>5730000.0</v>
      </c>
    </row>
    <row r="5">
      <c r="A5" s="45"/>
      <c r="B5" s="45"/>
      <c r="C5" s="45" t="s">
        <v>74</v>
      </c>
      <c r="D5" s="45" t="s">
        <v>38</v>
      </c>
      <c r="E5" s="45">
        <v>650000.0</v>
      </c>
      <c r="F5" s="47">
        <v>0.183</v>
      </c>
      <c r="G5" s="48">
        <v>0.5</v>
      </c>
      <c r="H5" s="46">
        <f t="shared" si="1"/>
        <v>59475</v>
      </c>
      <c r="I5" s="23">
        <v>1500000.0</v>
      </c>
    </row>
    <row r="6">
      <c r="A6" s="45"/>
      <c r="B6" s="45"/>
      <c r="C6" s="45" t="s">
        <v>75</v>
      </c>
      <c r="D6" s="45" t="s">
        <v>76</v>
      </c>
      <c r="E6" s="46"/>
      <c r="F6" s="47">
        <v>0.006</v>
      </c>
      <c r="G6" s="46"/>
      <c r="H6" s="45">
        <v>0.0</v>
      </c>
    </row>
    <row r="7">
      <c r="A7" s="46"/>
      <c r="B7" s="46"/>
      <c r="C7" s="46"/>
      <c r="D7" s="46"/>
      <c r="E7" s="46"/>
      <c r="F7" s="46"/>
      <c r="G7" s="46"/>
      <c r="H7" s="45" t="s">
        <v>77</v>
      </c>
    </row>
    <row r="8">
      <c r="A8" s="45"/>
      <c r="B8" s="45" t="s">
        <v>78</v>
      </c>
      <c r="C8" s="46"/>
      <c r="D8" s="45" t="s">
        <v>67</v>
      </c>
      <c r="E8" s="49" t="s">
        <v>79</v>
      </c>
      <c r="F8" s="45" t="s">
        <v>80</v>
      </c>
      <c r="G8" s="45" t="s">
        <v>81</v>
      </c>
      <c r="H8" s="46"/>
    </row>
    <row r="9">
      <c r="A9" s="46"/>
      <c r="B9" s="46"/>
      <c r="C9" s="45" t="s">
        <v>21</v>
      </c>
      <c r="D9" s="45" t="s">
        <v>82</v>
      </c>
      <c r="E9" s="45">
        <v>5000.0</v>
      </c>
      <c r="F9" s="48">
        <v>0.1</v>
      </c>
      <c r="G9" s="45">
        <v>430000.0</v>
      </c>
      <c r="H9" s="46"/>
    </row>
    <row r="10">
      <c r="A10" s="46"/>
      <c r="B10" s="46"/>
      <c r="C10" s="50" t="s">
        <v>22</v>
      </c>
      <c r="D10" s="45" t="s">
        <v>83</v>
      </c>
      <c r="E10" s="45">
        <v>0.0</v>
      </c>
      <c r="F10" s="45" t="s">
        <v>84</v>
      </c>
      <c r="G10" s="45" t="s">
        <v>85</v>
      </c>
      <c r="H10" s="46"/>
    </row>
    <row r="12">
      <c r="A12" s="51"/>
      <c r="B12" s="52" t="s">
        <v>86</v>
      </c>
    </row>
    <row r="13">
      <c r="C13" s="53" t="s">
        <v>87</v>
      </c>
      <c r="D13" s="54"/>
      <c r="E13" s="55" t="s">
        <v>63</v>
      </c>
      <c r="F13" s="55" t="s">
        <v>64</v>
      </c>
    </row>
    <row r="14">
      <c r="C14" s="56" t="s">
        <v>88</v>
      </c>
      <c r="D14" s="57" t="s">
        <v>89</v>
      </c>
      <c r="E14" s="58"/>
      <c r="F14" s="58"/>
    </row>
    <row r="15">
      <c r="C15" s="59">
        <v>1000.0</v>
      </c>
      <c r="D15" s="60">
        <v>1949000.0</v>
      </c>
      <c r="E15" s="61">
        <v>0.05</v>
      </c>
      <c r="F15" s="62">
        <v>0.0</v>
      </c>
    </row>
    <row r="16">
      <c r="C16" s="59">
        <v>1950000.0</v>
      </c>
      <c r="D16" s="60">
        <v>3299000.0</v>
      </c>
      <c r="E16" s="61">
        <v>0.1</v>
      </c>
      <c r="F16" s="63">
        <v>97500.0</v>
      </c>
    </row>
    <row r="17">
      <c r="C17" s="59">
        <v>3300000.0</v>
      </c>
      <c r="D17" s="60">
        <v>6949000.0</v>
      </c>
      <c r="E17" s="61">
        <v>0.2</v>
      </c>
      <c r="F17" s="63">
        <v>427500.0</v>
      </c>
    </row>
    <row r="18">
      <c r="C18" s="59">
        <v>6950000.0</v>
      </c>
      <c r="D18" s="60">
        <v>8999000.0</v>
      </c>
      <c r="E18" s="61">
        <v>0.23</v>
      </c>
      <c r="F18" s="63">
        <v>636000.0</v>
      </c>
    </row>
    <row r="19">
      <c r="C19" s="59">
        <v>9000000.0</v>
      </c>
      <c r="D19" s="60">
        <v>1.7999E7</v>
      </c>
      <c r="E19" s="61">
        <v>0.33</v>
      </c>
      <c r="F19" s="63">
        <v>1536000.0</v>
      </c>
    </row>
    <row r="20">
      <c r="C20" s="59">
        <v>1.8E7</v>
      </c>
      <c r="D20" s="60">
        <v>3.9999E7</v>
      </c>
      <c r="E20" s="61">
        <v>0.4</v>
      </c>
      <c r="F20" s="63">
        <v>2796000.0</v>
      </c>
    </row>
    <row r="21">
      <c r="C21" s="59">
        <v>4.0E7</v>
      </c>
      <c r="D21" s="64"/>
      <c r="E21" s="61">
        <v>0.45</v>
      </c>
      <c r="F21" s="63">
        <v>4796000.0</v>
      </c>
    </row>
    <row r="23">
      <c r="A23" s="51"/>
      <c r="B23" s="52" t="s">
        <v>90</v>
      </c>
    </row>
    <row r="24">
      <c r="C24" s="53" t="s">
        <v>91</v>
      </c>
      <c r="D24" s="54"/>
      <c r="E24" s="65" t="s">
        <v>79</v>
      </c>
      <c r="F24" s="66" t="s">
        <v>92</v>
      </c>
    </row>
    <row r="25">
      <c r="C25" s="56" t="s">
        <v>88</v>
      </c>
      <c r="D25" s="56" t="s">
        <v>89</v>
      </c>
      <c r="E25" s="58"/>
      <c r="F25" s="58"/>
    </row>
    <row r="26">
      <c r="C26" s="67">
        <v>0.0</v>
      </c>
      <c r="D26" s="68">
        <v>1900000.0</v>
      </c>
      <c r="E26" s="69">
        <v>650000.0</v>
      </c>
      <c r="F26" s="70">
        <v>0.0</v>
      </c>
    </row>
    <row r="27">
      <c r="C27" s="69">
        <v>1900000.0</v>
      </c>
      <c r="D27" s="67">
        <v>3600000.0</v>
      </c>
      <c r="E27" s="69">
        <v>80000.0</v>
      </c>
      <c r="F27" s="71">
        <v>0.3</v>
      </c>
    </row>
    <row r="28">
      <c r="C28" s="69">
        <v>3600000.0</v>
      </c>
      <c r="D28" s="67">
        <v>6600000.0</v>
      </c>
      <c r="E28" s="69">
        <v>440000.0</v>
      </c>
      <c r="F28" s="71">
        <v>0.2</v>
      </c>
    </row>
    <row r="29">
      <c r="C29" s="69">
        <v>6600000.0</v>
      </c>
      <c r="D29" s="67">
        <v>8500000.0</v>
      </c>
      <c r="E29" s="69">
        <v>1100000.0</v>
      </c>
      <c r="F29" s="71">
        <v>0.1</v>
      </c>
    </row>
    <row r="30">
      <c r="C30" s="69">
        <v>8500000.0</v>
      </c>
      <c r="D30" s="69"/>
      <c r="E30" s="69">
        <v>1950000.0</v>
      </c>
      <c r="F30" s="70">
        <v>0.0</v>
      </c>
    </row>
    <row r="32">
      <c r="A32" s="51"/>
      <c r="B32" s="52" t="s">
        <v>81</v>
      </c>
    </row>
    <row r="33">
      <c r="A33" s="51"/>
      <c r="B33" s="51"/>
      <c r="C33" s="72" t="s">
        <v>93</v>
      </c>
      <c r="D33" s="73" t="s">
        <v>94</v>
      </c>
      <c r="E33" s="72" t="s">
        <v>95</v>
      </c>
      <c r="F33" s="72" t="s">
        <v>96</v>
      </c>
    </row>
    <row r="34">
      <c r="A34" s="51"/>
      <c r="B34" s="51"/>
      <c r="C34" s="70">
        <v>0.0</v>
      </c>
      <c r="D34" s="74">
        <v>1320000.0</v>
      </c>
      <c r="E34" s="75">
        <v>950000.0</v>
      </c>
      <c r="F34" s="75">
        <v>950000.0</v>
      </c>
    </row>
    <row r="35">
      <c r="A35" s="51"/>
      <c r="B35" s="51"/>
      <c r="C35" s="74">
        <v>1320000.0</v>
      </c>
      <c r="D35" s="64">
        <f t="shared" ref="D35:D41" si="2">C36</f>
        <v>3360000</v>
      </c>
      <c r="E35" s="75">
        <v>880000.0</v>
      </c>
      <c r="F35" s="75">
        <v>580000.0</v>
      </c>
    </row>
    <row r="36">
      <c r="A36" s="51"/>
      <c r="B36" s="51"/>
      <c r="C36" s="74">
        <v>3360000.0</v>
      </c>
      <c r="D36" s="64">
        <f t="shared" si="2"/>
        <v>4890000</v>
      </c>
      <c r="E36" s="75">
        <v>680000.0</v>
      </c>
      <c r="F36" s="75">
        <v>580000.0</v>
      </c>
    </row>
    <row r="37">
      <c r="A37" s="51"/>
      <c r="B37" s="51"/>
      <c r="C37" s="74">
        <v>4890000.0</v>
      </c>
      <c r="D37" s="64">
        <f t="shared" si="2"/>
        <v>6550000</v>
      </c>
      <c r="E37" s="75">
        <v>630000.0</v>
      </c>
      <c r="F37" s="75">
        <v>580000.0</v>
      </c>
    </row>
    <row r="38">
      <c r="A38" s="51"/>
      <c r="B38" s="51"/>
      <c r="C38" s="74">
        <v>6550000.0</v>
      </c>
      <c r="D38" s="64">
        <f t="shared" si="2"/>
        <v>23500000</v>
      </c>
      <c r="E38" s="75">
        <v>580000.0</v>
      </c>
      <c r="F38" s="75">
        <v>580000.0</v>
      </c>
    </row>
    <row r="39">
      <c r="A39" s="51"/>
      <c r="B39" s="51"/>
      <c r="C39" s="74">
        <v>2.35E7</v>
      </c>
      <c r="D39" s="64">
        <f t="shared" si="2"/>
        <v>24000000</v>
      </c>
      <c r="E39" s="75">
        <v>480000.0</v>
      </c>
      <c r="F39" s="75">
        <v>480000.0</v>
      </c>
    </row>
    <row r="40">
      <c r="A40" s="51"/>
      <c r="B40" s="51"/>
      <c r="C40" s="74">
        <v>2.4E7</v>
      </c>
      <c r="D40" s="64">
        <f t="shared" si="2"/>
        <v>24500000</v>
      </c>
      <c r="E40" s="75">
        <v>320000.0</v>
      </c>
      <c r="F40" s="75">
        <v>320000.0</v>
      </c>
    </row>
    <row r="41">
      <c r="A41" s="51"/>
      <c r="B41" s="51"/>
      <c r="C41" s="74">
        <v>2.45E7</v>
      </c>
      <c r="D41" s="76">
        <f t="shared" si="2"/>
        <v>25000000</v>
      </c>
      <c r="E41" s="75">
        <v>160000.0</v>
      </c>
      <c r="F41" s="75">
        <v>160000.0</v>
      </c>
    </row>
    <row r="42">
      <c r="A42" s="51"/>
      <c r="B42" s="51"/>
      <c r="C42" s="77">
        <v>2.5E7</v>
      </c>
      <c r="D42" s="64"/>
      <c r="E42" s="75">
        <v>0.0</v>
      </c>
      <c r="F42" s="75">
        <v>0.0</v>
      </c>
    </row>
    <row r="43">
      <c r="A43" s="51"/>
      <c r="B43" s="51"/>
    </row>
    <row r="44">
      <c r="A44" s="51"/>
      <c r="B44" s="52" t="s">
        <v>38</v>
      </c>
    </row>
    <row r="45">
      <c r="C45" s="78" t="s">
        <v>38</v>
      </c>
      <c r="D45" s="78" t="s">
        <v>97</v>
      </c>
      <c r="E45" s="78" t="s">
        <v>98</v>
      </c>
      <c r="F45" s="79" t="s">
        <v>73</v>
      </c>
      <c r="G45" s="54"/>
      <c r="H45" s="80" t="s">
        <v>74</v>
      </c>
      <c r="I45" s="54"/>
    </row>
    <row r="46">
      <c r="C46" s="58"/>
      <c r="D46" s="58"/>
      <c r="E46" s="58"/>
      <c r="F46" s="72" t="s">
        <v>99</v>
      </c>
      <c r="G46" s="72" t="s">
        <v>100</v>
      </c>
      <c r="H46" s="72" t="s">
        <v>99</v>
      </c>
      <c r="I46" s="72" t="s">
        <v>100</v>
      </c>
    </row>
    <row r="47">
      <c r="C47" s="77">
        <v>58000.0</v>
      </c>
      <c r="D47" s="75"/>
      <c r="E47" s="77">
        <v>63000.0</v>
      </c>
      <c r="F47" s="81">
        <v>5747.8</v>
      </c>
      <c r="G47" s="81">
        <v>2873.9</v>
      </c>
      <c r="H47" s="82">
        <v>16104.0</v>
      </c>
      <c r="I47" s="82">
        <v>8052.0</v>
      </c>
    </row>
    <row r="48">
      <c r="C48" s="77">
        <v>68000.0</v>
      </c>
      <c r="D48" s="77">
        <v>63000.0</v>
      </c>
      <c r="E48" s="77">
        <v>73000.0</v>
      </c>
      <c r="F48" s="81">
        <v>6738.8</v>
      </c>
      <c r="G48" s="81">
        <v>3369.4</v>
      </c>
      <c r="H48" s="82">
        <v>16104.0</v>
      </c>
      <c r="I48" s="82">
        <v>8052.0</v>
      </c>
    </row>
    <row r="49">
      <c r="C49" s="77">
        <v>78000.0</v>
      </c>
      <c r="D49" s="77">
        <v>73000.0</v>
      </c>
      <c r="E49" s="77">
        <v>83000.0</v>
      </c>
      <c r="F49" s="81">
        <v>7729.8</v>
      </c>
      <c r="G49" s="81">
        <v>3864.9</v>
      </c>
      <c r="H49" s="82">
        <v>16104.0</v>
      </c>
      <c r="I49" s="82">
        <v>8052.0</v>
      </c>
    </row>
    <row r="50">
      <c r="C50" s="77">
        <v>88000.0</v>
      </c>
      <c r="D50" s="77">
        <v>83000.0</v>
      </c>
      <c r="E50" s="77">
        <v>93000.0</v>
      </c>
      <c r="F50" s="81">
        <v>8720.8</v>
      </c>
      <c r="G50" s="81">
        <v>4360.4</v>
      </c>
      <c r="H50" s="82">
        <v>16104.0</v>
      </c>
      <c r="I50" s="82">
        <v>8052.0</v>
      </c>
    </row>
    <row r="51">
      <c r="C51" s="77">
        <v>98000.0</v>
      </c>
      <c r="D51" s="77">
        <v>93000.0</v>
      </c>
      <c r="E51" s="77">
        <v>101000.0</v>
      </c>
      <c r="F51" s="81">
        <v>9711.8</v>
      </c>
      <c r="G51" s="81">
        <v>4855.9</v>
      </c>
      <c r="H51" s="82">
        <v>17934.0</v>
      </c>
      <c r="I51" s="82">
        <v>8967.0</v>
      </c>
    </row>
    <row r="52">
      <c r="C52" s="77">
        <v>104000.0</v>
      </c>
      <c r="D52" s="77">
        <v>101000.0</v>
      </c>
      <c r="E52" s="77">
        <v>107000.0</v>
      </c>
      <c r="F52" s="81">
        <v>10306.4</v>
      </c>
      <c r="G52" s="81">
        <v>5153.2</v>
      </c>
      <c r="H52" s="82">
        <v>19032.0</v>
      </c>
      <c r="I52" s="82">
        <v>9516.0</v>
      </c>
    </row>
    <row r="53">
      <c r="C53" s="77">
        <v>110000.0</v>
      </c>
      <c r="D53" s="77">
        <v>107000.0</v>
      </c>
      <c r="E53" s="77">
        <v>114000.0</v>
      </c>
      <c r="F53" s="81">
        <v>10901.0</v>
      </c>
      <c r="G53" s="81">
        <v>5450.5</v>
      </c>
      <c r="H53" s="82">
        <v>20130.0</v>
      </c>
      <c r="I53" s="82">
        <v>10065.0</v>
      </c>
    </row>
    <row r="54">
      <c r="C54" s="77">
        <v>118000.0</v>
      </c>
      <c r="D54" s="77">
        <v>114000.0</v>
      </c>
      <c r="E54" s="77">
        <v>122000.0</v>
      </c>
      <c r="F54" s="81">
        <v>11693.8</v>
      </c>
      <c r="G54" s="81">
        <v>5846.9</v>
      </c>
      <c r="H54" s="82">
        <v>21594.0</v>
      </c>
      <c r="I54" s="82">
        <v>10797.0</v>
      </c>
    </row>
    <row r="55">
      <c r="C55" s="77">
        <v>126000.0</v>
      </c>
      <c r="D55" s="77">
        <v>122000.0</v>
      </c>
      <c r="E55" s="77">
        <v>130000.0</v>
      </c>
      <c r="F55" s="81">
        <v>12486.6</v>
      </c>
      <c r="G55" s="81">
        <v>6243.3</v>
      </c>
      <c r="H55" s="82">
        <v>23058.0</v>
      </c>
      <c r="I55" s="82">
        <v>11529.0</v>
      </c>
    </row>
    <row r="56">
      <c r="C56" s="77">
        <v>134000.0</v>
      </c>
      <c r="D56" s="77">
        <v>130000.0</v>
      </c>
      <c r="E56" s="77">
        <v>138000.0</v>
      </c>
      <c r="F56" s="81">
        <v>13279.4</v>
      </c>
      <c r="G56" s="81">
        <v>6639.7</v>
      </c>
      <c r="H56" s="82">
        <v>24522.0</v>
      </c>
      <c r="I56" s="82">
        <v>12261.0</v>
      </c>
    </row>
    <row r="57">
      <c r="C57" s="77">
        <v>142000.0</v>
      </c>
      <c r="D57" s="77">
        <v>138000.0</v>
      </c>
      <c r="E57" s="77">
        <v>146000.0</v>
      </c>
      <c r="F57" s="81">
        <v>14072.2</v>
      </c>
      <c r="G57" s="81">
        <v>7036.1</v>
      </c>
      <c r="H57" s="82">
        <v>25986.0</v>
      </c>
      <c r="I57" s="82">
        <v>12993.0</v>
      </c>
    </row>
    <row r="58">
      <c r="C58" s="77">
        <v>150000.0</v>
      </c>
      <c r="D58" s="77">
        <v>146000.0</v>
      </c>
      <c r="E58" s="77">
        <v>155000.0</v>
      </c>
      <c r="F58" s="81">
        <v>14865.0</v>
      </c>
      <c r="G58" s="81">
        <v>7432.5</v>
      </c>
      <c r="H58" s="82">
        <v>27450.0</v>
      </c>
      <c r="I58" s="82">
        <v>13725.0</v>
      </c>
    </row>
    <row r="59">
      <c r="C59" s="77">
        <v>160000.0</v>
      </c>
      <c r="D59" s="77">
        <v>155000.0</v>
      </c>
      <c r="E59" s="77">
        <v>165000.0</v>
      </c>
      <c r="F59" s="81">
        <v>15856.0</v>
      </c>
      <c r="G59" s="81">
        <v>7928.0</v>
      </c>
      <c r="H59" s="82">
        <v>29280.0</v>
      </c>
      <c r="I59" s="82">
        <v>14640.0</v>
      </c>
    </row>
    <row r="60">
      <c r="C60" s="77">
        <v>170000.0</v>
      </c>
      <c r="D60" s="77">
        <v>165000.0</v>
      </c>
      <c r="E60" s="77">
        <v>175000.0</v>
      </c>
      <c r="F60" s="81">
        <v>16847.0</v>
      </c>
      <c r="G60" s="81">
        <v>8423.5</v>
      </c>
      <c r="H60" s="82">
        <v>31110.0</v>
      </c>
      <c r="I60" s="82">
        <v>15555.0</v>
      </c>
    </row>
    <row r="61">
      <c r="C61" s="77">
        <v>180000.0</v>
      </c>
      <c r="D61" s="77">
        <v>175000.0</v>
      </c>
      <c r="E61" s="77">
        <v>185000.0</v>
      </c>
      <c r="F61" s="81">
        <v>17838.0</v>
      </c>
      <c r="G61" s="81">
        <v>8919.0</v>
      </c>
      <c r="H61" s="82">
        <v>32940.0</v>
      </c>
      <c r="I61" s="82">
        <v>16470.0</v>
      </c>
    </row>
    <row r="62">
      <c r="C62" s="77">
        <v>190000.0</v>
      </c>
      <c r="D62" s="77">
        <v>185000.0</v>
      </c>
      <c r="E62" s="77">
        <v>195000.0</v>
      </c>
      <c r="F62" s="81">
        <v>18829.0</v>
      </c>
      <c r="G62" s="81">
        <v>9414.5</v>
      </c>
      <c r="H62" s="82">
        <v>34770.0</v>
      </c>
      <c r="I62" s="82">
        <v>17385.0</v>
      </c>
    </row>
    <row r="63">
      <c r="C63" s="77">
        <v>200000.0</v>
      </c>
      <c r="D63" s="77">
        <v>195000.0</v>
      </c>
      <c r="E63" s="77">
        <v>210000.0</v>
      </c>
      <c r="F63" s="81">
        <v>19820.0</v>
      </c>
      <c r="G63" s="81">
        <v>9910.0</v>
      </c>
      <c r="H63" s="82">
        <v>36600.0</v>
      </c>
      <c r="I63" s="82">
        <v>18300.0</v>
      </c>
    </row>
    <row r="64">
      <c r="C64" s="77">
        <v>220000.0</v>
      </c>
      <c r="D64" s="77">
        <v>210000.0</v>
      </c>
      <c r="E64" s="77">
        <v>230000.0</v>
      </c>
      <c r="F64" s="81">
        <v>21802.0</v>
      </c>
      <c r="G64" s="81">
        <v>10901.0</v>
      </c>
      <c r="H64" s="82">
        <v>40260.0</v>
      </c>
      <c r="I64" s="82">
        <v>20130.0</v>
      </c>
    </row>
    <row r="65">
      <c r="C65" s="77">
        <v>240000.0</v>
      </c>
      <c r="D65" s="77">
        <v>230000.0</v>
      </c>
      <c r="E65" s="77">
        <v>250000.0</v>
      </c>
      <c r="F65" s="81">
        <v>23784.0</v>
      </c>
      <c r="G65" s="81">
        <v>11892.0</v>
      </c>
      <c r="H65" s="82">
        <v>43920.0</v>
      </c>
      <c r="I65" s="82">
        <v>21960.0</v>
      </c>
    </row>
    <row r="66">
      <c r="C66" s="77">
        <v>260000.0</v>
      </c>
      <c r="D66" s="77">
        <v>250000.0</v>
      </c>
      <c r="E66" s="77">
        <v>270000.0</v>
      </c>
      <c r="F66" s="81">
        <v>25766.0</v>
      </c>
      <c r="G66" s="81">
        <v>12883.0</v>
      </c>
      <c r="H66" s="82">
        <v>47580.0</v>
      </c>
      <c r="I66" s="82">
        <v>23790.0</v>
      </c>
    </row>
    <row r="67">
      <c r="C67" s="77">
        <v>280000.0</v>
      </c>
      <c r="D67" s="77">
        <v>270000.0</v>
      </c>
      <c r="E67" s="77">
        <v>290000.0</v>
      </c>
      <c r="F67" s="81">
        <v>27748.0</v>
      </c>
      <c r="G67" s="81">
        <v>13874.0</v>
      </c>
      <c r="H67" s="82">
        <v>51240.0</v>
      </c>
      <c r="I67" s="82">
        <v>25620.0</v>
      </c>
    </row>
    <row r="68">
      <c r="C68" s="77">
        <v>300000.0</v>
      </c>
      <c r="D68" s="77">
        <v>290000.0</v>
      </c>
      <c r="E68" s="77">
        <v>310000.0</v>
      </c>
      <c r="F68" s="81">
        <v>29730.0</v>
      </c>
      <c r="G68" s="81">
        <v>14865.0</v>
      </c>
      <c r="H68" s="82">
        <v>54900.0</v>
      </c>
      <c r="I68" s="82">
        <v>27450.0</v>
      </c>
    </row>
    <row r="69">
      <c r="C69" s="77">
        <v>320000.0</v>
      </c>
      <c r="D69" s="77">
        <v>310000.0</v>
      </c>
      <c r="E69" s="77">
        <v>330000.0</v>
      </c>
      <c r="F69" s="81">
        <v>31712.0</v>
      </c>
      <c r="G69" s="81">
        <v>15856.0</v>
      </c>
      <c r="H69" s="82">
        <v>58560.0</v>
      </c>
      <c r="I69" s="82">
        <v>29280.0</v>
      </c>
    </row>
    <row r="70">
      <c r="C70" s="77">
        <v>340000.0</v>
      </c>
      <c r="D70" s="77">
        <v>330000.0</v>
      </c>
      <c r="E70" s="77">
        <v>350000.0</v>
      </c>
      <c r="F70" s="81">
        <v>33694.0</v>
      </c>
      <c r="G70" s="81">
        <v>16847.0</v>
      </c>
      <c r="H70" s="82">
        <v>62220.0</v>
      </c>
      <c r="I70" s="82">
        <v>31110.0</v>
      </c>
    </row>
    <row r="71">
      <c r="C71" s="77">
        <v>360000.0</v>
      </c>
      <c r="D71" s="77">
        <v>350000.0</v>
      </c>
      <c r="E71" s="77">
        <v>370000.0</v>
      </c>
      <c r="F71" s="81">
        <v>35676.0</v>
      </c>
      <c r="G71" s="81">
        <v>17838.0</v>
      </c>
      <c r="H71" s="82">
        <v>65880.0</v>
      </c>
      <c r="I71" s="82">
        <v>32940.0</v>
      </c>
    </row>
    <row r="72">
      <c r="C72" s="77">
        <v>380000.0</v>
      </c>
      <c r="D72" s="77">
        <v>370000.0</v>
      </c>
      <c r="E72" s="77">
        <v>395000.0</v>
      </c>
      <c r="F72" s="81">
        <v>37658.0</v>
      </c>
      <c r="G72" s="81">
        <v>18829.0</v>
      </c>
      <c r="H72" s="82">
        <v>69540.0</v>
      </c>
      <c r="I72" s="82">
        <v>34770.0</v>
      </c>
    </row>
    <row r="73">
      <c r="C73" s="77">
        <v>410000.0</v>
      </c>
      <c r="D73" s="77">
        <v>395000.0</v>
      </c>
      <c r="E73" s="77">
        <v>425000.0</v>
      </c>
      <c r="F73" s="81">
        <v>40631.0</v>
      </c>
      <c r="G73" s="81">
        <v>20315.5</v>
      </c>
      <c r="H73" s="82">
        <v>75030.0</v>
      </c>
      <c r="I73" s="82">
        <v>37515.0</v>
      </c>
    </row>
    <row r="74">
      <c r="C74" s="77">
        <v>440000.0</v>
      </c>
      <c r="D74" s="77">
        <v>425000.0</v>
      </c>
      <c r="E74" s="77">
        <v>455000.0</v>
      </c>
      <c r="F74" s="81">
        <v>43604.0</v>
      </c>
      <c r="G74" s="81">
        <v>21802.0</v>
      </c>
      <c r="H74" s="82">
        <v>80520.0</v>
      </c>
      <c r="I74" s="82">
        <v>40260.0</v>
      </c>
    </row>
    <row r="75">
      <c r="C75" s="77">
        <v>470000.0</v>
      </c>
      <c r="D75" s="77">
        <v>455000.0</v>
      </c>
      <c r="E75" s="77">
        <v>485000.0</v>
      </c>
      <c r="F75" s="81">
        <v>46577.0</v>
      </c>
      <c r="G75" s="81">
        <v>23288.5</v>
      </c>
      <c r="H75" s="82">
        <v>86010.0</v>
      </c>
      <c r="I75" s="82">
        <v>43005.0</v>
      </c>
    </row>
    <row r="76">
      <c r="C76" s="77">
        <v>500000.0</v>
      </c>
      <c r="D76" s="77">
        <v>485000.0</v>
      </c>
      <c r="E76" s="77">
        <v>515000.0</v>
      </c>
      <c r="F76" s="81">
        <v>49550.0</v>
      </c>
      <c r="G76" s="81">
        <v>24775.0</v>
      </c>
      <c r="H76" s="82">
        <v>91500.0</v>
      </c>
      <c r="I76" s="82">
        <v>45750.0</v>
      </c>
    </row>
    <row r="77">
      <c r="C77" s="77">
        <v>530000.0</v>
      </c>
      <c r="D77" s="77">
        <v>515000.0</v>
      </c>
      <c r="E77" s="77">
        <v>545000.0</v>
      </c>
      <c r="F77" s="81">
        <v>52523.0</v>
      </c>
      <c r="G77" s="81">
        <v>26261.5</v>
      </c>
      <c r="H77" s="82">
        <v>96990.0</v>
      </c>
      <c r="I77" s="82">
        <v>48495.0</v>
      </c>
    </row>
    <row r="78">
      <c r="C78" s="77">
        <v>560000.0</v>
      </c>
      <c r="D78" s="77">
        <v>545000.0</v>
      </c>
      <c r="E78" s="77">
        <v>575000.0</v>
      </c>
      <c r="F78" s="81">
        <v>55496.0</v>
      </c>
      <c r="G78" s="81">
        <v>27748.0</v>
      </c>
      <c r="H78" s="82">
        <v>102480.0</v>
      </c>
      <c r="I78" s="82">
        <v>51240.0</v>
      </c>
    </row>
    <row r="79">
      <c r="C79" s="77">
        <v>590000.0</v>
      </c>
      <c r="D79" s="77">
        <v>575000.0</v>
      </c>
      <c r="E79" s="77">
        <v>605000.0</v>
      </c>
      <c r="F79" s="81">
        <v>58469.0</v>
      </c>
      <c r="G79" s="81">
        <v>29234.5</v>
      </c>
      <c r="H79" s="82">
        <v>107970.0</v>
      </c>
      <c r="I79" s="82">
        <v>53985.0</v>
      </c>
    </row>
    <row r="80">
      <c r="C80" s="77">
        <v>620000.0</v>
      </c>
      <c r="D80" s="77">
        <v>605000.0</v>
      </c>
      <c r="E80" s="77">
        <v>635000.0</v>
      </c>
      <c r="F80" s="81">
        <v>61442.0</v>
      </c>
      <c r="G80" s="81">
        <v>30721.0</v>
      </c>
      <c r="H80" s="82">
        <v>113460.0</v>
      </c>
      <c r="I80" s="82">
        <v>56730.0</v>
      </c>
    </row>
    <row r="81">
      <c r="C81" s="77">
        <v>650000.0</v>
      </c>
      <c r="D81" s="77">
        <v>635000.0</v>
      </c>
      <c r="E81" s="77">
        <v>665000.0</v>
      </c>
      <c r="F81" s="81">
        <v>64415.0</v>
      </c>
      <c r="G81" s="81">
        <v>32207.5</v>
      </c>
      <c r="H81" s="82">
        <v>118950.0</v>
      </c>
      <c r="I81" s="82">
        <v>59475.0</v>
      </c>
    </row>
    <row r="82">
      <c r="C82" s="77">
        <v>680000.0</v>
      </c>
      <c r="D82" s="77">
        <v>665000.0</v>
      </c>
      <c r="E82" s="77">
        <v>695000.0</v>
      </c>
      <c r="F82" s="81">
        <v>67388.0</v>
      </c>
      <c r="G82" s="81">
        <v>33694.0</v>
      </c>
      <c r="H82" s="82">
        <v>118950.0</v>
      </c>
      <c r="I82" s="82">
        <v>59475.0</v>
      </c>
    </row>
    <row r="83">
      <c r="C83" s="77">
        <v>710000.0</v>
      </c>
      <c r="D83" s="77">
        <v>695000.0</v>
      </c>
      <c r="E83" s="77">
        <v>730000.0</v>
      </c>
      <c r="F83" s="81">
        <v>70361.0</v>
      </c>
      <c r="G83" s="81">
        <v>35180.5</v>
      </c>
      <c r="H83" s="82">
        <v>118950.0</v>
      </c>
      <c r="I83" s="82">
        <v>59475.0</v>
      </c>
    </row>
    <row r="84">
      <c r="C84" s="77">
        <v>750000.0</v>
      </c>
      <c r="D84" s="77">
        <v>730000.0</v>
      </c>
      <c r="E84" s="77">
        <v>770000.0</v>
      </c>
      <c r="F84" s="81">
        <v>74325.0</v>
      </c>
      <c r="G84" s="81">
        <v>37162.5</v>
      </c>
      <c r="H84" s="82">
        <v>118950.0</v>
      </c>
      <c r="I84" s="82">
        <v>59475.0</v>
      </c>
    </row>
    <row r="85">
      <c r="C85" s="77">
        <v>790000.0</v>
      </c>
      <c r="D85" s="77">
        <v>770000.0</v>
      </c>
      <c r="E85" s="77">
        <v>810000.0</v>
      </c>
      <c r="F85" s="81">
        <v>78289.0</v>
      </c>
      <c r="G85" s="81">
        <v>39144.5</v>
      </c>
      <c r="H85" s="82">
        <v>118950.0</v>
      </c>
      <c r="I85" s="82">
        <v>59475.0</v>
      </c>
    </row>
    <row r="86">
      <c r="C86" s="77">
        <v>830000.0</v>
      </c>
      <c r="D86" s="77">
        <v>810000.0</v>
      </c>
      <c r="E86" s="77">
        <v>855000.0</v>
      </c>
      <c r="F86" s="81">
        <v>82253.0</v>
      </c>
      <c r="G86" s="81">
        <v>41126.5</v>
      </c>
      <c r="H86" s="82">
        <v>118950.0</v>
      </c>
      <c r="I86" s="82">
        <v>59475.0</v>
      </c>
    </row>
    <row r="87">
      <c r="C87" s="77">
        <v>880000.0</v>
      </c>
      <c r="D87" s="77">
        <v>855000.0</v>
      </c>
      <c r="E87" s="77">
        <v>905000.0</v>
      </c>
      <c r="F87" s="81">
        <v>87208.0</v>
      </c>
      <c r="G87" s="81">
        <v>43604.0</v>
      </c>
      <c r="H87" s="82">
        <v>118950.0</v>
      </c>
      <c r="I87" s="82">
        <v>59475.0</v>
      </c>
    </row>
    <row r="88">
      <c r="C88" s="77">
        <v>930000.0</v>
      </c>
      <c r="D88" s="77">
        <v>905000.0</v>
      </c>
      <c r="E88" s="77">
        <v>955000.0</v>
      </c>
      <c r="F88" s="81">
        <v>92163.0</v>
      </c>
      <c r="G88" s="81">
        <v>46081.5</v>
      </c>
      <c r="H88" s="82">
        <v>118950.0</v>
      </c>
      <c r="I88" s="82">
        <v>59475.0</v>
      </c>
    </row>
    <row r="89">
      <c r="C89" s="77">
        <v>980000.0</v>
      </c>
      <c r="D89" s="77">
        <v>955000.0</v>
      </c>
      <c r="E89" s="77">
        <v>1005000.0</v>
      </c>
      <c r="F89" s="81">
        <v>97118.0</v>
      </c>
      <c r="G89" s="81">
        <v>48559.0</v>
      </c>
      <c r="H89" s="82">
        <v>118950.0</v>
      </c>
      <c r="I89" s="82">
        <v>59475.0</v>
      </c>
    </row>
    <row r="90">
      <c r="C90" s="77">
        <v>1030000.0</v>
      </c>
      <c r="D90" s="77">
        <v>1005000.0</v>
      </c>
      <c r="E90" s="77">
        <v>1055000.0</v>
      </c>
      <c r="F90" s="81">
        <v>102073.0</v>
      </c>
      <c r="G90" s="81">
        <v>51036.5</v>
      </c>
      <c r="H90" s="82">
        <v>118950.0</v>
      </c>
      <c r="I90" s="82">
        <v>59475.0</v>
      </c>
    </row>
    <row r="91">
      <c r="C91" s="77">
        <v>1090000.0</v>
      </c>
      <c r="D91" s="77">
        <v>1055000.0</v>
      </c>
      <c r="E91" s="77">
        <v>1115000.0</v>
      </c>
      <c r="F91" s="81">
        <v>108019.0</v>
      </c>
      <c r="G91" s="81">
        <v>54009.5</v>
      </c>
      <c r="H91" s="82">
        <v>118950.0</v>
      </c>
      <c r="I91" s="82">
        <v>59475.0</v>
      </c>
    </row>
    <row r="92">
      <c r="C92" s="77">
        <v>1150000.0</v>
      </c>
      <c r="D92" s="77">
        <v>1115000.0</v>
      </c>
      <c r="E92" s="77">
        <v>1175000.0</v>
      </c>
      <c r="F92" s="81">
        <v>113965.0</v>
      </c>
      <c r="G92" s="81">
        <v>56982.5</v>
      </c>
      <c r="H92" s="82">
        <v>118950.0</v>
      </c>
      <c r="I92" s="82">
        <v>59475.0</v>
      </c>
    </row>
    <row r="93">
      <c r="C93" s="77">
        <v>1210000.0</v>
      </c>
      <c r="D93" s="77">
        <v>1175000.0</v>
      </c>
      <c r="E93" s="77">
        <v>1235000.0</v>
      </c>
      <c r="F93" s="81">
        <v>119911.0</v>
      </c>
      <c r="G93" s="81">
        <v>59955.5</v>
      </c>
      <c r="H93" s="82">
        <v>118950.0</v>
      </c>
      <c r="I93" s="82">
        <v>59475.0</v>
      </c>
    </row>
    <row r="94">
      <c r="C94" s="77">
        <v>1270000.0</v>
      </c>
      <c r="D94" s="77">
        <v>1235000.0</v>
      </c>
      <c r="E94" s="77">
        <v>1295000.0</v>
      </c>
      <c r="F94" s="81">
        <v>125857.0</v>
      </c>
      <c r="G94" s="81">
        <v>62928.5</v>
      </c>
      <c r="H94" s="82">
        <v>118950.0</v>
      </c>
      <c r="I94" s="82">
        <v>59475.0</v>
      </c>
    </row>
    <row r="95">
      <c r="C95" s="77">
        <v>1330000.0</v>
      </c>
      <c r="D95" s="77">
        <v>1295000.0</v>
      </c>
      <c r="E95" s="77">
        <v>1355000.0</v>
      </c>
      <c r="F95" s="81">
        <v>131803.0</v>
      </c>
      <c r="G95" s="81">
        <v>65901.5</v>
      </c>
      <c r="H95" s="82">
        <v>118950.0</v>
      </c>
      <c r="I95" s="82">
        <v>59475.0</v>
      </c>
    </row>
    <row r="96">
      <c r="C96" s="77">
        <v>1390000.0</v>
      </c>
      <c r="D96" s="77">
        <v>1355000.0</v>
      </c>
      <c r="E96" s="82" t="s">
        <v>101</v>
      </c>
      <c r="F96" s="81">
        <v>137749.0</v>
      </c>
      <c r="G96" s="81">
        <v>68874.5</v>
      </c>
      <c r="H96" s="82">
        <v>118950.0</v>
      </c>
      <c r="I96" s="82">
        <v>59475.0</v>
      </c>
    </row>
  </sheetData>
  <mergeCells count="11">
    <mergeCell ref="D45:D46"/>
    <mergeCell ref="E45:E46"/>
    <mergeCell ref="F45:G45"/>
    <mergeCell ref="H45:I45"/>
    <mergeCell ref="C13:D13"/>
    <mergeCell ref="E13:E14"/>
    <mergeCell ref="F13:F14"/>
    <mergeCell ref="C24:D24"/>
    <mergeCell ref="E24:E25"/>
    <mergeCell ref="F24:F25"/>
    <mergeCell ref="C45:C46"/>
  </mergeCells>
  <hyperlinks>
    <hyperlink r:id="rId2" location="content4" ref="C10"/>
    <hyperlink r:id="rId3" ref="B12"/>
    <hyperlink r:id="rId4" ref="B23"/>
    <hyperlink r:id="rId5" ref="B32"/>
    <hyperlink r:id="rId6" ref="B44"/>
  </hyperlinks>
  <drawing r:id="rId7"/>
  <legacyDrawing r:id="rId8"/>
</worksheet>
</file>